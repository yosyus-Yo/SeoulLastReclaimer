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615de2b19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6477f51753f45b1"/>
    <x:sheet xmlns:r="http://schemas.openxmlformats.org/officeDocument/2006/relationships" name="Combat" sheetId="2" r:id="R8536e92536f84ee0"/>
    <x:sheet xmlns:r="http://schemas.openxmlformats.org/officeDocument/2006/relationships" name="Growth" sheetId="3" r:id="R14627677cbda4fa5"/>
    <x:sheet xmlns:r="http://schemas.openxmlformats.org/officeDocument/2006/relationships" name="Skills" sheetId="4" r:id="Rc23adcbef8fc47af"/>
    <x:sheet xmlns:r="http://schemas.openxmlformats.org/officeDocument/2006/relationships" name="Enemies" sheetId="5" r:id="Re3870127deca4960"/>
    <x:sheet xmlns:r="http://schemas.openxmlformats.org/officeDocument/2006/relationships" name="Missions" sheetId="6" r:id="Rb9d875e686864f14"/>
    <x:sheet xmlns:r="http://schemas.openxmlformats.org/officeDocument/2006/relationships" name="Economy" sheetId="7" r:id="R6d25bf323b124734"/>
    <x:sheet xmlns:r="http://schemas.openxmlformats.org/officeDocument/2006/relationships" name="Drops" sheetId="8" r:id="R975534f2ee114d35"/>
    <x:sheet xmlns:r="http://schemas.openxmlformats.org/officeDocument/2006/relationships" name="Budget" sheetId="9" r:id="R967e85815afe4278"/>
    <x:sheet xmlns:r="http://schemas.openxmlformats.org/officeDocument/2006/relationships" name="Settings" sheetId="10" r:id="R79c9fb313798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0"/>
    <x:numFmt numFmtId="202" formatCode="0.0"/>
    <x:numFmt numFmtId="203" formatCode="#,##0"/>
    <x:numFmt numFmtId="204" formatCode="#,##0;(#,##0);&quot;-&quot;"/>
  </x:numFmts>
  <x:fonts count="7">
    <x:font>
      <x:sz val="11"/>
      <x:name val="Carlito"/>
    </x:font>
    <x:font>
      <x:sz val="11"/>
      <x:color rgb="FF182733"/>
      <x:name val="Apple SD Gothic Neo"/>
    </x:font>
    <x:font>
      <x:b/>
      <x:sz val="16"/>
      <x:color rgb="FF182733"/>
      <x:name val="Apple SD Gothic Neo"/>
    </x:font>
    <x:font>
      <x:i/>
      <x:sz val="10"/>
      <x:color rgb="FF667680"/>
      <x:name val="Apple SD Gothic Neo"/>
    </x:font>
    <x:font>
      <x:b/>
      <x:sz val="11"/>
      <x:color rgb="FFFFFFFF"/>
      <x:name val="Apple SD Gothic Neo"/>
    </x:font>
    <x:font>
      <x:sz val="11"/>
      <x:color rgb="FF245CA6"/>
      <x:name val="Apple SD Gothic Neo"/>
    </x:font>
    <x:font>
      <x:b/>
      <x:sz val="11"/>
      <x:color rgb="FF182733"/>
      <x:name val="Apple SD Gothic Neo"/>
    </x:font>
  </x:fonts>
  <x:fills count="5">
    <x:fill>
      <x:patternFill patternType="none"/>
    </x:fill>
    <x:fill>
      <x:patternFill patternType="gray125"/>
    </x:fill>
    <x:fill>
      <x:patternFill patternType="solid">
        <x:fgColor rgb="FF263D4B"/>
      </x:patternFill>
    </x:fill>
    <x:fill>
      <x:patternFill patternType="solid">
        <x:fgColor rgb="FFF0F4F5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4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A32020"/>
      </x:font>
      <x:fill>
        <x:patternFill patternType="solid">
          <x:bgColor rgb="FFFCE2E0"/>
        </x:patternFill>
      </x:fill>
    </x:dxf>
    <x:dxf>
      <x:font>
        <x:color rgb="FFA32020"/>
      </x:font>
      <x:fill>
        <x:patternFill patternType="solid">
          <x:bgColor rgb="FFFCE2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9e44d8f524793" /><Relationship Type="http://schemas.openxmlformats.org/officeDocument/2006/relationships/theme" Target="/xl/theme/theme1.xml" Id="R3e14b1eadb53496a" /><Relationship Type="http://schemas.openxmlformats.org/officeDocument/2006/relationships/sharedStrings" Target="/xl/sharedStrings.xml" Id="R7d6807a5870747bb" /><Relationship Type="http://schemas.openxmlformats.org/officeDocument/2006/relationships/worksheet" Target="/xl/worksheets/sheet1.xml" Id="Rb6477f51753f45b1" /><Relationship Type="http://schemas.openxmlformats.org/officeDocument/2006/relationships/worksheet" Target="/xl/worksheets/sheet2.xml" Id="R8536e92536f84ee0" /><Relationship Type="http://schemas.openxmlformats.org/officeDocument/2006/relationships/worksheet" Target="/xl/worksheets/sheet3.xml" Id="R14627677cbda4fa5" /><Relationship Type="http://schemas.openxmlformats.org/officeDocument/2006/relationships/worksheet" Target="/xl/worksheets/sheet4.xml" Id="Rc23adcbef8fc47af" /><Relationship Type="http://schemas.openxmlformats.org/officeDocument/2006/relationships/worksheet" Target="/xl/worksheets/sheet5.xml" Id="Re3870127deca4960" /><Relationship Type="http://schemas.openxmlformats.org/officeDocument/2006/relationships/worksheet" Target="/xl/worksheets/sheet6.xml" Id="Rb9d875e686864f14" /><Relationship Type="http://schemas.openxmlformats.org/officeDocument/2006/relationships/worksheet" Target="/xl/worksheets/sheet7.xml" Id="R6d25bf323b124734" /><Relationship Type="http://schemas.openxmlformats.org/officeDocument/2006/relationships/worksheet" Target="/xl/worksheets/sheet8.xml" Id="R975534f2ee114d35" /><Relationship Type="http://schemas.openxmlformats.org/officeDocument/2006/relationships/worksheet" Target="/xl/worksheets/sheet9.xml" Id="R967e85815afe4278" /><Relationship Type="http://schemas.openxmlformats.org/officeDocument/2006/relationships/worksheet" Target="/xl/worksheets/sheet10.xml" Id="R79c9fb31379844d5" /></Relationships>
</file>

<file path=xl/tables/table1.xml><?xml version="1.0" encoding="utf-8"?>
<x:table xmlns:x="http://schemas.openxmlformats.org/spreadsheetml/2006/main" id="10" name="OverviewTable" displayName="OverviewTable" ref="A5:C18" headerRowCount="1" totalsRowCount="0" totalsRowShown="0">
  <x:autoFilter ref="A5:C18"/>
  <x:tableColumns count="3">
    <x:tableColumn id="1" name="검토 항목"/>
    <x:tableColumn id="2" name="값"/>
    <x:tableColumn id="3" name="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CombatTable" displayName="CombatTable" ref="A5:C17" headerRowCount="1" totalsRowCount="0" totalsRowShown="0">
  <x:autoFilter ref="A5:C17"/>
  <x:tableColumns count="3">
    <x:tableColumn id="1" name="항목"/>
    <x:tableColumn id="2" name="값"/>
    <x:tableColumn id="3" name="설명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GrowthTable" displayName="GrowthTable" ref="A5:E35" headerRowCount="1" totalsRowCount="0" totalsRowShown="0">
  <x:autoFilter ref="A5:E35"/>
  <x:tableColumns count="5">
    <x:tableColumn id="1" name="레벨"/>
    <x:tableColumn id="2" name="HP"/>
    <x:tableColumn id="3" name="공격력"/>
    <x:tableColumn id="4" name="다음 레벨 XP"/>
    <x:tableColumn id="5" name="누적 X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SkillsTable" displayName="SkillsTable" ref="A5:I13" headerRowCount="1" totalsRowCount="0" totalsRowShown="0">
  <x:autoFilter ref="A5:I13"/>
  <x:tableColumns count="9">
    <x:tableColumn id="1" name="ID"/>
    <x:tableColumn id="2" name="이름"/>
    <x:tableColumn id="3" name="에너지"/>
    <x:tableColumn id="4" name="쿨다운 s"/>
    <x:tableColumn id="5" name="피해계수"/>
    <x:tableColumn id="6" name="사거리 m"/>
    <x:tableColumn id="7" name="유지 s"/>
    <x:tableColumn id="8" name="해금 임무"/>
    <x:tableColumn id="9" name="슬롯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EnemiesTable" displayName="EnemiesTable" ref="A5:I19" headerRowCount="1" totalsRowCount="0" totalsRowShown="0">
  <x:autoFilter ref="A5:I19"/>
  <x:tableColumns count="9">
    <x:tableColumn id="1" name="ID"/>
    <x:tableColumn id="2" name="이름"/>
    <x:tableColumn id="3" name="HP"/>
    <x:tableColumn id="4" name="방어력"/>
    <x:tableColumn id="5" name="공격력"/>
    <x:tableColumn id="6" name="예고 s"/>
    <x:tableColumn id="7" name="잔향 에너지"/>
    <x:tableColumn id="8" name="합금 확률"/>
    <x:tableColumn id="9" name="연구 확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MissionsTable" displayName="MissionsTable" ref="A5:I23" headerRowCount="1" totalsRowCount="0" totalsRowShown="0">
  <x:autoFilter ref="A5:I23"/>
  <x:tableColumns count="9">
    <x:tableColumn id="1" name="ID"/>
    <x:tableColumn id="2" name="장"/>
    <x:tableColumn id="3" name="이름"/>
    <x:tableColumn id="4" name="추천 레벨"/>
    <x:tableColumn id="5" name="크레딧"/>
    <x:tableColumn id="6" name="XP"/>
    <x:tableColumn id="7" name="구조 인원"/>
    <x:tableColumn id="8" name="보스"/>
    <x:tableColumn id="9" name="목표 분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EconomyTable" displayName="EconomyTable" ref="A5:E23" headerRowCount="1" totalsRowCount="0" totalsRowShown="0">
  <x:autoFilter ref="A5:E23"/>
  <x:tableColumns count="5">
    <x:tableColumn id="1" name="임무 ID"/>
    <x:tableColumn id="2" name="기초 잔액"/>
    <x:tableColumn id="3" name="계약 보상"/>
    <x:tableColumn id="4" name="권장 장비 비용"/>
    <x:tableColumn id="5" name="기말 잔액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DropsTable" displayName="DropsTable" ref="A5:D9" headerRowCount="1" totalsRowCount="0" totalsRowShown="0">
  <x:autoFilter ref="A5:D9"/>
  <x:tableColumns count="4">
    <x:tableColumn id="1" name="결과"/>
    <x:tableColumn id="2" name="확률"/>
    <x:tableColumn id="3" name="수량"/>
    <x:tableColumn id="4" name="기대 수량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udgetTable" displayName="BudgetTable" ref="A5:E20" headerRowCount="1" totalsRowCount="0" totalsRowShown="0">
  <x:autoFilter ref="A5:E20"/>
  <x:tableColumns count="5">
    <x:tableColumn id="1" name="항목"/>
    <x:tableColumn id="2" name="월 단가 원"/>
    <x:tableColumn id="3" name="FTE"/>
    <x:tableColumn id="4" name="개월"/>
    <x:tableColumn id="5" name="금액 원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" name="SettingsTable" displayName="SettingsTable" ref="A5:C21" headerRowCount="1" totalsRowCount="0" totalsRowShown="0">
  <x:autoFilter ref="A5:C21"/>
  <x:tableColumns count="3">
    <x:tableColumn id="1" name="변수"/>
    <x:tableColumn id="2" name="값"/>
    <x:tableColumn id="3" name="단위 또는 의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2cd66dcb0f4c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787f4d4b5044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fcb5ed43c640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a2ed00b29043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fd39c3781f64c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85ada28eea94b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b6dac736ff94a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2ab52cfda6443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03140df953745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30fa69d692341ac" /></Relationships>
</file>

<file path=xl/worksheets/sheet1.xml><?xml version="1.0" encoding="utf-8"?>
<x:worksheet xmlns:x="http://schemas.openxmlformats.org/spreadsheetml/2006/main">
  <x:sheetPr>
    <x:tabColor rgb="FF263D4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6" hidden="0" customWidth="1"/>
    <x:col min="3" max="3" width="42" hidden="0" customWidth="1"/>
  </x:cols>
  <x:sheetData>
    <x:row r="1" ht="25" customHeight="1">
      <x:c r="A1" s="2"/>
      <x:c r="B1" s="2"/>
      <x:c r="C1" s="2"/>
    </x:row>
    <x:row r="2" ht="25" customHeight="1">
      <x:c r="A2" s="3" t="str">
        <x:v>서울의 마지막 회수자 수치 개요</x:v>
      </x:c>
      <x:c r="B2" s="2"/>
      <x:c r="C2" s="2"/>
    </x:row>
    <x:row r="3" ht="25" customHeight="1">
      <x:c r="A3" s="4" t="str">
        <x:v>v0.1 제안값 · 실측 및 게임 테스트 전</x:v>
      </x:c>
      <x:c r="B3" s="2"/>
      <x:c r="C3" s="2"/>
    </x:row>
    <x:row r="4" ht="25" customHeight="1">
      <x:c r="A4" s="2"/>
      <x:c r="B4" s="2"/>
      <x:c r="C4" s="2"/>
    </x:row>
    <x:row r="5" ht="38" customHeight="1">
      <x:c r="A5" s="8" t="str">
        <x:v>검토 항목</x:v>
      </x:c>
      <x:c r="B5" s="8" t="str">
        <x:v>값</x:v>
      </x:c>
      <x:c r="C5" s="8" t="str">
        <x:v>기준</x:v>
      </x:c>
    </x:row>
    <x:row r="6" ht="25" customHeight="1">
      <x:c r="A6" s="9" t="str">
        <x:v>도식 수</x:v>
      </x:c>
      <x:c r="B6" s="9" t="n">
        <x:v>8</x:v>
      </x:c>
      <x:c r="C6" s="9" t="str">
        <x:v>공통 2 능동 5 권역 1</x:v>
      </x:c>
    </x:row>
    <x:row r="7" ht="25" customHeight="1">
      <x:c r="A7" s="2" t="str">
        <x:v>일반 적 원형</x:v>
      </x:c>
      <x:c r="B7" s="2" t="n">
        <x:v>8</x:v>
      </x:c>
      <x:c r="C7" s="2" t="str">
        <x:v>파생 외형 제외</x:v>
      </x:c>
    </x:row>
    <x:row r="8" ht="25" customHeight="1">
      <x:c r="A8" s="9" t="str">
        <x:v>보스 원형</x:v>
      </x:c>
      <x:c r="B8" s="9" t="n">
        <x:v>6</x:v>
      </x:c>
      <x:c r="C8" s="9" t="str">
        <x:v>재전투는 중복 제외</x:v>
      </x:c>
    </x:row>
    <x:row r="9" ht="25" customHeight="1">
      <x:c r="A9" s="2" t="str">
        <x:v>주 임무 수</x:v>
      </x:c>
      <x:c r="B9" s="2" t="n">
        <x:v>18</x:v>
      </x:c>
      <x:c r="C9" s="2" t="str">
        <x:v>6챕터 완결</x:v>
      </x:c>
    </x:row>
    <x:row r="10" ht="25" customHeight="1">
      <x:c r="A10" s="9" t="str">
        <x:v>최대 레벨</x:v>
      </x:c>
      <x:c r="B10" s="21" t="n">
        <x:f>'Settings'!B10</x:f>
        <x:v>30</x:v>
      </x:c>
      <x:c r="C10" s="9" t="str">
        <x:v>레벨 30</x:v>
      </x:c>
    </x:row>
    <x:row r="11" ht="25" customHeight="1">
      <x:c r="A11" s="2" t="str">
        <x:v>최대 레벨 누적 XP</x:v>
      </x:c>
      <x:c r="B11" s="22" t="n">
        <x:f>'Growth'!E35</x:f>
        <x:v>10440</x:v>
      </x:c>
      <x:c r="C11" s="2" t="str">
        <x:v>레벨업 공식</x:v>
      </x:c>
    </x:row>
    <x:row r="12" ht="25" customHeight="1">
      <x:c r="A12" s="9" t="str">
        <x:v>주 임무 XP 합</x:v>
      </x:c>
      <x:c r="B12" s="21" t="n">
        <x:f>SUM('Missions'!F6:F23)</x:f>
        <x:v>11850</x:v>
      </x:c>
      <x:c r="C12" s="9" t="str">
        <x:v>전투 XP 제외</x:v>
      </x:c>
    </x:row>
    <x:row r="13" ht="25" customHeight="1">
      <x:c r="A13" s="2" t="str">
        <x:v>주 임무 크레딧 합</x:v>
      </x:c>
      <x:c r="B13" s="22" t="n">
        <x:f>SUM('Missions'!E6:E23)</x:f>
        <x:v>40550</x:v>
      </x:c>
      <x:c r="C13" s="2" t="str">
        <x:v>첫 완료 기준</x:v>
      </x:c>
    </x:row>
    <x:row r="14" ht="25" customHeight="1">
      <x:c r="A14" s="9" t="str">
        <x:v>표준 드롭 합</x:v>
      </x:c>
      <x:c r="B14" s="21" t="n">
        <x:f>'Drops'!B9</x:f>
        <x:v>1</x:v>
      </x:c>
      <x:c r="C14" s="9" t="str">
        <x:v>1이면 확률 합계 정상</x:v>
      </x:c>
    </x:row>
    <x:row r="15" ht="25" customHeight="1">
      <x:c r="A15" s="2" t="str">
        <x:v>18개월 총 예산 원</x:v>
      </x:c>
      <x:c r="B15" s="22" t="n">
        <x:f>'Budget'!E18</x:f>
        <x:v>503700000</x:v>
      </x:c>
      <x:c r="C15" s="2" t="str">
        <x:v>견적 전 가정 및 예비비 포함</x:v>
      </x:c>
    </x:row>
    <x:row r="16" ht="25" customHeight="1">
      <x:c r="A16" s="9" t="str">
        <x:v>보스 DPS 추정</x:v>
      </x:c>
      <x:c r="B16" s="19" t="n">
        <x:f>'Combat'!B16</x:f>
        <x:v>20.8</x:v>
      </x:c>
      <x:c r="C16" s="9" t="str">
        <x:v>Combat 입력에 연동</x:v>
      </x:c>
    </x:row>
    <x:row r="17" ht="25" customHeight="1">
      <x:c r="A17" s="2" t="str">
        <x:v>게임 플레이테스트</x:v>
      </x:c>
      <x:c r="B17" s="2" t="str">
        <x:v>미실시</x:v>
      </x:c>
      <x:c r="C17" s="2" t="str">
        <x:v>수치 확정 전</x:v>
      </x:c>
    </x:row>
    <x:row r="18" ht="25" customHeight="1">
      <x:c r="A18" s="9" t="str">
        <x:v>편집 방법</x:v>
      </x:c>
      <x:c r="B18" s="9" t="str">
        <x:v>노란 입력 셀</x:v>
      </x:c>
      <x:c r="C18" s="9" t="str">
        <x:v>계산 셀은 수식 유지</x:v>
      </x:c>
    </x:row>
  </x:sheetData>
  <x:pageMargins left="0.7" right="0.7" top="0.75" bottom="0.75" header="0.3" footer="0.3"/>
  <x:tableParts count="1">
    <x:tablePart xmlns:r="http://schemas.openxmlformats.org/officeDocument/2006/relationships" r:id="R522cd66dcb0f4c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9" hidden="0" customWidth="1"/>
  </x:cols>
  <x:sheetData>
    <x:row r="1" ht="25" customHeight="1">
      <x:c r="A1" s="2"/>
      <x:c r="B1" s="2"/>
      <x:c r="C1" s="2"/>
    </x:row>
    <x:row r="2" ht="25" customHeight="1">
      <x:c r="A2" s="3" t="str">
        <x:v>전투 계산기</x:v>
      </x:c>
      <x:c r="B2" s="2"/>
      <x:c r="C2" s="2"/>
    </x:row>
    <x:row r="3" ht="25" customHeight="1">
      <x:c r="A3" s="4" t="str">
        <x:v>v0.1 제안값 · 실측 및 게임 테스트 전</x:v>
      </x:c>
      <x:c r="B3" s="2"/>
      <x:c r="C3" s="2"/>
    </x:row>
    <x:row r="4" ht="25" customHeight="1">
      <x:c r="A4" s="2"/>
      <x:c r="B4" s="2"/>
      <x:c r="C4" s="2"/>
    </x:row>
    <x:row r="5" ht="38" customHeight="1">
      <x:c r="A5" s="8" t="str">
        <x:v>항목</x:v>
      </x:c>
      <x:c r="B5" s="8" t="str">
        <x:v>값</x:v>
      </x:c>
      <x:c r="C5" s="8" t="str">
        <x:v>설명</x:v>
      </x:c>
    </x:row>
    <x:row r="6" ht="25" customHeight="1">
      <x:c r="A6" s="9" t="str">
        <x:v>플레이어 레벨</x:v>
      </x:c>
      <x:c r="B6" s="12" t="n">
        <x:v>1</x:v>
      </x:c>
      <x:c r="C6" s="9" t="str">
        <x:v>1~30 입력</x:v>
      </x:c>
    </x:row>
    <x:row r="7" ht="25" customHeight="1">
      <x:c r="A7" s="2" t="str">
        <x:v>적 방어력</x:v>
      </x:c>
      <x:c r="B7" s="12" t="n">
        <x:v>20</x:v>
      </x:c>
      <x:c r="C7" s="2" t="str">
        <x:v>0 이상 입력</x:v>
      </x:c>
    </x:row>
    <x:row r="8" ht="25" customHeight="1">
      <x:c r="A8" s="9" t="str">
        <x:v>기술계수</x:v>
      </x:c>
      <x:c r="B8" s="12" t="n">
        <x:v>1</x:v>
      </x:c>
      <x:c r="C8" s="9" t="str">
        <x:v>0 이상 입력</x:v>
      </x:c>
    </x:row>
    <x:row r="9" ht="25" customHeight="1">
      <x:c r="A9" s="2" t="str">
        <x:v>피해 증가율</x:v>
      </x:c>
      <x:c r="B9" s="18" t="n">
        <x:v>0</x:v>
      </x:c>
      <x:c r="C9" s="2" t="str">
        <x:v>0~1 입력</x:v>
      </x:c>
    </x:row>
    <x:row r="10" ht="25" customHeight="1">
      <x:c r="A10" s="9" t="str">
        <x:v>대상 HP</x:v>
      </x:c>
      <x:c r="B10" s="12" t="n">
        <x:v>1400</x:v>
      </x:c>
      <x:c r="C10" s="9" t="str">
        <x:v>1 이상 입력</x:v>
      </x:c>
    </x:row>
    <x:row r="11" ht="25" customHeight="1">
      <x:c r="A11" s="2" t="str">
        <x:v>공격력</x:v>
      </x:c>
      <x:c r="B11" s="2" t="n">
        <x:f>INDEX('Growth'!$C$6:$C$35,MATCH(B6,'Growth'!$A$6:$A$35,0))</x:f>
        <x:v>20</x:v>
      </x:c>
      <x:c r="C11" s="2" t="str">
        <x:v>Growth에서 조회</x:v>
      </x:c>
    </x:row>
    <x:row r="12" ht="25" customHeight="1">
      <x:c r="A12" s="9" t="str">
        <x:v>회당 피해</x:v>
      </x:c>
      <x:c r="B12" s="9" t="n">
        <x:f>IF(B8=0,0,MAX(1,ROUNDDOWN(B11*B8*(1+B9)*100/(100+B7),0)))</x:f>
        <x:v>16</x:v>
      </x:c>
      <x:c r="C12" s="9" t="str">
        <x:v>정수 내림 및 최소 1</x:v>
      </x:c>
    </x:row>
    <x:row r="13" ht="25" customHeight="1">
      <x:c r="A13" s="2" t="str">
        <x:v>공격 간격 s</x:v>
      </x:c>
      <x:c r="B13" s="2" t="n">
        <x:f>'Settings'!B13</x:f>
        <x:v>0.5</x:v>
      </x:c>
      <x:c r="C13" s="2" t="str">
        <x:v>Settings의 기본 공격 간격</x:v>
      </x:c>
    </x:row>
    <x:row r="14" ht="25" customHeight="1">
      <x:c r="A14" s="9" t="str">
        <x:v>이상적 DPS</x:v>
      </x:c>
      <x:c r="B14" s="19" t="n">
        <x:f>B12/B13</x:f>
        <x:v>32</x:v>
      </x:c>
      <x:c r="C14" s="9" t="str">
        <x:v>공격만 계속할 경우</x:v>
      </x:c>
    </x:row>
    <x:row r="15" ht="25" customHeight="1">
      <x:c r="A15" s="2" t="str">
        <x:v>공격 가동률</x:v>
      </x:c>
      <x:c r="B15" s="14" t="n">
        <x:f>'Settings'!B14</x:f>
        <x:v>0.65</x:v>
      </x:c>
      <x:c r="C15" s="2" t="str">
        <x:v>회피와 이동 반영 가정</x:v>
      </x:c>
    </x:row>
    <x:row r="16" ht="25" customHeight="1">
      <x:c r="A16" s="9" t="str">
        <x:v>실전 DPS 추정</x:v>
      </x:c>
      <x:c r="B16" s="19" t="n">
        <x:f>B14*B15</x:f>
        <x:v>20.8</x:v>
      </x:c>
      <x:c r="C16" s="9" t="str">
        <x:v>가동률 적용</x:v>
      </x:c>
    </x:row>
    <x:row r="17" ht="25" customHeight="1">
      <x:c r="A17" s="2" t="str">
        <x:v>처치 시간 추정 s</x:v>
      </x:c>
      <x:c r="B17" s="20" t="n">
        <x:f>IF(B16=0,"n.a.",B10/B16)</x:f>
        <x:v>67.3076923076923</x:v>
      </x:c>
      <x:c r="C17" s="2" t="str">
        <x:v>회복과 단계 무적 미포함</x:v>
      </x:c>
    </x:row>
  </x:sheetData>
  <x:dataValidations count="1">
    <x:dataValidation type="whole" operator="between" sqref="B6">
      <x:formula1>1</x:formula1>
      <x:formula2>30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c787f4d4b50449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플레이어 레벨 성장</x:v>
      </x:c>
      <x:c r="B2" s="2"/>
      <x:c r="C2" s="2"/>
      <x:c r="D2" s="2"/>
      <x:c r="E2" s="2"/>
    </x:row>
    <x:row r="3" ht="25" customHeight="1">
      <x:c r="A3" s="4" t="str">
        <x:v>v0.1 제안값 · 실측 및 게임 테스트 전</x:v>
      </x:c>
      <x:c r="B3" s="2"/>
      <x:c r="C3" s="2"/>
      <x:c r="D3" s="2"/>
      <x:c r="E3" s="2"/>
    </x:row>
    <x:row r="4" ht="25" customHeight="1">
      <x:c r="A4" s="2"/>
      <x:c r="B4" s="2"/>
      <x:c r="C4" s="2"/>
      <x:c r="D4" s="2"/>
      <x:c r="E4" s="2"/>
    </x:row>
    <x:row r="5" ht="38" customHeight="1">
      <x:c r="A5" s="8" t="str">
        <x:v>레벨</x:v>
      </x:c>
      <x:c r="B5" s="8" t="str">
        <x:v>HP</x:v>
      </x:c>
      <x:c r="C5" s="8" t="str">
        <x:v>공격력</x:v>
      </x:c>
      <x:c r="D5" s="8" t="str">
        <x:v>다음 레벨 XP</x:v>
      </x:c>
      <x:c r="E5" s="8" t="str">
        <x:v>누적 XP</x:v>
      </x:c>
    </x:row>
    <x:row r="6" ht="25" customHeight="1">
      <x:c r="A6" s="9" t="n">
        <x:v>1</x:v>
      </x:c>
      <x:c r="B6" s="9" t="n">
        <x:f>'Settings'!$B$6+(A6-1)*'Settings'!$B$7</x:f>
        <x:v>120</x:v>
      </x:c>
      <x:c r="C6" s="9" t="n">
        <x:f>'Settings'!$B$8+(A6-1)*'Settings'!$B$9</x:f>
        <x:v>20</x:v>
      </x:c>
      <x:c r="D6" s="9" t="n">
        <x:f>IF(A6='Settings'!$B$10,0,'Settings'!$B$11+(A6-1)*'Settings'!$B$12)</x:f>
        <x:v>80</x:v>
      </x:c>
      <x:c r="E6" s="9" t="n">
        <x:f>0</x:f>
        <x:v>0</x:v>
      </x:c>
    </x:row>
    <x:row r="7" ht="25" customHeight="1">
      <x:c r="A7" s="2" t="n">
        <x:v>2</x:v>
      </x:c>
      <x:c r="B7" s="2" t="n">
        <x:f>'Settings'!$B$6+(A7-1)*'Settings'!$B$7</x:f>
        <x:v>128</x:v>
      </x:c>
      <x:c r="C7" s="2" t="n">
        <x:f>'Settings'!$B$8+(A7-1)*'Settings'!$B$9</x:f>
        <x:v>22</x:v>
      </x:c>
      <x:c r="D7" s="2" t="n">
        <x:f>IF(A7='Settings'!$B$10,0,'Settings'!$B$11+(A7-1)*'Settings'!$B$12)</x:f>
        <x:v>100</x:v>
      </x:c>
      <x:c r="E7" s="2" t="n">
        <x:f>E6+D6</x:f>
        <x:v>80</x:v>
      </x:c>
    </x:row>
    <x:row r="8" ht="25" customHeight="1">
      <x:c r="A8" s="9" t="n">
        <x:v>3</x:v>
      </x:c>
      <x:c r="B8" s="9" t="n">
        <x:f>'Settings'!$B$6+(A8-1)*'Settings'!$B$7</x:f>
        <x:v>136</x:v>
      </x:c>
      <x:c r="C8" s="9" t="n">
        <x:f>'Settings'!$B$8+(A8-1)*'Settings'!$B$9</x:f>
        <x:v>24</x:v>
      </x:c>
      <x:c r="D8" s="9" t="n">
        <x:f>IF(A8='Settings'!$B$10,0,'Settings'!$B$11+(A8-1)*'Settings'!$B$12)</x:f>
        <x:v>120</x:v>
      </x:c>
      <x:c r="E8" s="9" t="n">
        <x:f>E7+D7</x:f>
        <x:v>180</x:v>
      </x:c>
    </x:row>
    <x:row r="9" ht="25" customHeight="1">
      <x:c r="A9" s="2" t="n">
        <x:v>4</x:v>
      </x:c>
      <x:c r="B9" s="2" t="n">
        <x:f>'Settings'!$B$6+(A9-1)*'Settings'!$B$7</x:f>
        <x:v>144</x:v>
      </x:c>
      <x:c r="C9" s="2" t="n">
        <x:f>'Settings'!$B$8+(A9-1)*'Settings'!$B$9</x:f>
        <x:v>26</x:v>
      </x:c>
      <x:c r="D9" s="2" t="n">
        <x:f>IF(A9='Settings'!$B$10,0,'Settings'!$B$11+(A9-1)*'Settings'!$B$12)</x:f>
        <x:v>140</x:v>
      </x:c>
      <x:c r="E9" s="2" t="n">
        <x:f>E8+D8</x:f>
        <x:v>300</x:v>
      </x:c>
    </x:row>
    <x:row r="10" ht="25" customHeight="1">
      <x:c r="A10" s="9" t="n">
        <x:v>5</x:v>
      </x:c>
      <x:c r="B10" s="9" t="n">
        <x:f>'Settings'!$B$6+(A10-1)*'Settings'!$B$7</x:f>
        <x:v>152</x:v>
      </x:c>
      <x:c r="C10" s="9" t="n">
        <x:f>'Settings'!$B$8+(A10-1)*'Settings'!$B$9</x:f>
        <x:v>28</x:v>
      </x:c>
      <x:c r="D10" s="9" t="n">
        <x:f>IF(A10='Settings'!$B$10,0,'Settings'!$B$11+(A10-1)*'Settings'!$B$12)</x:f>
        <x:v>160</x:v>
      </x:c>
      <x:c r="E10" s="9" t="n">
        <x:f>E9+D9</x:f>
        <x:v>440</x:v>
      </x:c>
    </x:row>
    <x:row r="11" ht="25" customHeight="1">
      <x:c r="A11" s="2" t="n">
        <x:v>6</x:v>
      </x:c>
      <x:c r="B11" s="2" t="n">
        <x:f>'Settings'!$B$6+(A11-1)*'Settings'!$B$7</x:f>
        <x:v>160</x:v>
      </x:c>
      <x:c r="C11" s="2" t="n">
        <x:f>'Settings'!$B$8+(A11-1)*'Settings'!$B$9</x:f>
        <x:v>30</x:v>
      </x:c>
      <x:c r="D11" s="2" t="n">
        <x:f>IF(A11='Settings'!$B$10,0,'Settings'!$B$11+(A11-1)*'Settings'!$B$12)</x:f>
        <x:v>180</x:v>
      </x:c>
      <x:c r="E11" s="2" t="n">
        <x:f>E10+D10</x:f>
        <x:v>600</x:v>
      </x:c>
    </x:row>
    <x:row r="12" ht="25" customHeight="1">
      <x:c r="A12" s="9" t="n">
        <x:v>7</x:v>
      </x:c>
      <x:c r="B12" s="9" t="n">
        <x:f>'Settings'!$B$6+(A12-1)*'Settings'!$B$7</x:f>
        <x:v>168</x:v>
      </x:c>
      <x:c r="C12" s="9" t="n">
        <x:f>'Settings'!$B$8+(A12-1)*'Settings'!$B$9</x:f>
        <x:v>32</x:v>
      </x:c>
      <x:c r="D12" s="9" t="n">
        <x:f>IF(A12='Settings'!$B$10,0,'Settings'!$B$11+(A12-1)*'Settings'!$B$12)</x:f>
        <x:v>200</x:v>
      </x:c>
      <x:c r="E12" s="9" t="n">
        <x:f>E11+D11</x:f>
        <x:v>780</x:v>
      </x:c>
    </x:row>
    <x:row r="13" ht="25" customHeight="1">
      <x:c r="A13" s="2" t="n">
        <x:v>8</x:v>
      </x:c>
      <x:c r="B13" s="2" t="n">
        <x:f>'Settings'!$B$6+(A13-1)*'Settings'!$B$7</x:f>
        <x:v>176</x:v>
      </x:c>
      <x:c r="C13" s="2" t="n">
        <x:f>'Settings'!$B$8+(A13-1)*'Settings'!$B$9</x:f>
        <x:v>34</x:v>
      </x:c>
      <x:c r="D13" s="2" t="n">
        <x:f>IF(A13='Settings'!$B$10,0,'Settings'!$B$11+(A13-1)*'Settings'!$B$12)</x:f>
        <x:v>220</x:v>
      </x:c>
      <x:c r="E13" s="2" t="n">
        <x:f>E12+D12</x:f>
        <x:v>980</x:v>
      </x:c>
    </x:row>
    <x:row r="14" ht="25" customHeight="1">
      <x:c r="A14" s="9" t="n">
        <x:v>9</x:v>
      </x:c>
      <x:c r="B14" s="9" t="n">
        <x:f>'Settings'!$B$6+(A14-1)*'Settings'!$B$7</x:f>
        <x:v>184</x:v>
      </x:c>
      <x:c r="C14" s="9" t="n">
        <x:f>'Settings'!$B$8+(A14-1)*'Settings'!$B$9</x:f>
        <x:v>36</x:v>
      </x:c>
      <x:c r="D14" s="9" t="n">
        <x:f>IF(A14='Settings'!$B$10,0,'Settings'!$B$11+(A14-1)*'Settings'!$B$12)</x:f>
        <x:v>240</x:v>
      </x:c>
      <x:c r="E14" s="9" t="n">
        <x:f>E13+D13</x:f>
        <x:v>1200</x:v>
      </x:c>
    </x:row>
    <x:row r="15" ht="25" customHeight="1">
      <x:c r="A15" s="2" t="n">
        <x:v>10</x:v>
      </x:c>
      <x:c r="B15" s="2" t="n">
        <x:f>'Settings'!$B$6+(A15-1)*'Settings'!$B$7</x:f>
        <x:v>192</x:v>
      </x:c>
      <x:c r="C15" s="2" t="n">
        <x:f>'Settings'!$B$8+(A15-1)*'Settings'!$B$9</x:f>
        <x:v>38</x:v>
      </x:c>
      <x:c r="D15" s="2" t="n">
        <x:f>IF(A15='Settings'!$B$10,0,'Settings'!$B$11+(A15-1)*'Settings'!$B$12)</x:f>
        <x:v>260</x:v>
      </x:c>
      <x:c r="E15" s="2" t="n">
        <x:f>E14+D14</x:f>
        <x:v>1440</x:v>
      </x:c>
    </x:row>
    <x:row r="16" ht="25" customHeight="1">
      <x:c r="A16" s="9" t="n">
        <x:v>11</x:v>
      </x:c>
      <x:c r="B16" s="9" t="n">
        <x:f>'Settings'!$B$6+(A16-1)*'Settings'!$B$7</x:f>
        <x:v>200</x:v>
      </x:c>
      <x:c r="C16" s="9" t="n">
        <x:f>'Settings'!$B$8+(A16-1)*'Settings'!$B$9</x:f>
        <x:v>40</x:v>
      </x:c>
      <x:c r="D16" s="9" t="n">
        <x:f>IF(A16='Settings'!$B$10,0,'Settings'!$B$11+(A16-1)*'Settings'!$B$12)</x:f>
        <x:v>280</x:v>
      </x:c>
      <x:c r="E16" s="9" t="n">
        <x:f>E15+D15</x:f>
        <x:v>1700</x:v>
      </x:c>
    </x:row>
    <x:row r="17" ht="25" customHeight="1">
      <x:c r="A17" s="2" t="n">
        <x:v>12</x:v>
      </x:c>
      <x:c r="B17" s="2" t="n">
        <x:f>'Settings'!$B$6+(A17-1)*'Settings'!$B$7</x:f>
        <x:v>208</x:v>
      </x:c>
      <x:c r="C17" s="2" t="n">
        <x:f>'Settings'!$B$8+(A17-1)*'Settings'!$B$9</x:f>
        <x:v>42</x:v>
      </x:c>
      <x:c r="D17" s="2" t="n">
        <x:f>IF(A17='Settings'!$B$10,0,'Settings'!$B$11+(A17-1)*'Settings'!$B$12)</x:f>
        <x:v>300</x:v>
      </x:c>
      <x:c r="E17" s="2" t="n">
        <x:f>E16+D16</x:f>
        <x:v>1980</x:v>
      </x:c>
    </x:row>
    <x:row r="18" ht="25" customHeight="1">
      <x:c r="A18" s="9" t="n">
        <x:v>13</x:v>
      </x:c>
      <x:c r="B18" s="9" t="n">
        <x:f>'Settings'!$B$6+(A18-1)*'Settings'!$B$7</x:f>
        <x:v>216</x:v>
      </x:c>
      <x:c r="C18" s="9" t="n">
        <x:f>'Settings'!$B$8+(A18-1)*'Settings'!$B$9</x:f>
        <x:v>44</x:v>
      </x:c>
      <x:c r="D18" s="9" t="n">
        <x:f>IF(A18='Settings'!$B$10,0,'Settings'!$B$11+(A18-1)*'Settings'!$B$12)</x:f>
        <x:v>320</x:v>
      </x:c>
      <x:c r="E18" s="9" t="n">
        <x:f>E17+D17</x:f>
        <x:v>2280</x:v>
      </x:c>
    </x:row>
    <x:row r="19" ht="25" customHeight="1">
      <x:c r="A19" s="2" t="n">
        <x:v>14</x:v>
      </x:c>
      <x:c r="B19" s="2" t="n">
        <x:f>'Settings'!$B$6+(A19-1)*'Settings'!$B$7</x:f>
        <x:v>224</x:v>
      </x:c>
      <x:c r="C19" s="2" t="n">
        <x:f>'Settings'!$B$8+(A19-1)*'Settings'!$B$9</x:f>
        <x:v>46</x:v>
      </x:c>
      <x:c r="D19" s="2" t="n">
        <x:f>IF(A19='Settings'!$B$10,0,'Settings'!$B$11+(A19-1)*'Settings'!$B$12)</x:f>
        <x:v>340</x:v>
      </x:c>
      <x:c r="E19" s="2" t="n">
        <x:f>E18+D18</x:f>
        <x:v>2600</x:v>
      </x:c>
    </x:row>
    <x:row r="20" ht="25" customHeight="1">
      <x:c r="A20" s="9" t="n">
        <x:v>15</x:v>
      </x:c>
      <x:c r="B20" s="9" t="n">
        <x:f>'Settings'!$B$6+(A20-1)*'Settings'!$B$7</x:f>
        <x:v>232</x:v>
      </x:c>
      <x:c r="C20" s="9" t="n">
        <x:f>'Settings'!$B$8+(A20-1)*'Settings'!$B$9</x:f>
        <x:v>48</x:v>
      </x:c>
      <x:c r="D20" s="9" t="n">
        <x:f>IF(A20='Settings'!$B$10,0,'Settings'!$B$11+(A20-1)*'Settings'!$B$12)</x:f>
        <x:v>360</x:v>
      </x:c>
      <x:c r="E20" s="9" t="n">
        <x:f>E19+D19</x:f>
        <x:v>2940</x:v>
      </x:c>
    </x:row>
    <x:row r="21" ht="25" customHeight="1">
      <x:c r="A21" s="2" t="n">
        <x:v>16</x:v>
      </x:c>
      <x:c r="B21" s="2" t="n">
        <x:f>'Settings'!$B$6+(A21-1)*'Settings'!$B$7</x:f>
        <x:v>240</x:v>
      </x:c>
      <x:c r="C21" s="2" t="n">
        <x:f>'Settings'!$B$8+(A21-1)*'Settings'!$B$9</x:f>
        <x:v>50</x:v>
      </x:c>
      <x:c r="D21" s="2" t="n">
        <x:f>IF(A21='Settings'!$B$10,0,'Settings'!$B$11+(A21-1)*'Settings'!$B$12)</x:f>
        <x:v>380</x:v>
      </x:c>
      <x:c r="E21" s="2" t="n">
        <x:f>E20+D20</x:f>
        <x:v>3300</x:v>
      </x:c>
    </x:row>
    <x:row r="22" ht="25" customHeight="1">
      <x:c r="A22" s="9" t="n">
        <x:v>17</x:v>
      </x:c>
      <x:c r="B22" s="9" t="n">
        <x:f>'Settings'!$B$6+(A22-1)*'Settings'!$B$7</x:f>
        <x:v>248</x:v>
      </x:c>
      <x:c r="C22" s="9" t="n">
        <x:f>'Settings'!$B$8+(A22-1)*'Settings'!$B$9</x:f>
        <x:v>52</x:v>
      </x:c>
      <x:c r="D22" s="9" t="n">
        <x:f>IF(A22='Settings'!$B$10,0,'Settings'!$B$11+(A22-1)*'Settings'!$B$12)</x:f>
        <x:v>400</x:v>
      </x:c>
      <x:c r="E22" s="9" t="n">
        <x:f>E21+D21</x:f>
        <x:v>3680</x:v>
      </x:c>
    </x:row>
    <x:row r="23" ht="25" customHeight="1">
      <x:c r="A23" s="2" t="n">
        <x:v>18</x:v>
      </x:c>
      <x:c r="B23" s="2" t="n">
        <x:f>'Settings'!$B$6+(A23-1)*'Settings'!$B$7</x:f>
        <x:v>256</x:v>
      </x:c>
      <x:c r="C23" s="2" t="n">
        <x:f>'Settings'!$B$8+(A23-1)*'Settings'!$B$9</x:f>
        <x:v>54</x:v>
      </x:c>
      <x:c r="D23" s="2" t="n">
        <x:f>IF(A23='Settings'!$B$10,0,'Settings'!$B$11+(A23-1)*'Settings'!$B$12)</x:f>
        <x:v>420</x:v>
      </x:c>
      <x:c r="E23" s="2" t="n">
        <x:f>E22+D22</x:f>
        <x:v>4080</x:v>
      </x:c>
    </x:row>
    <x:row r="24" ht="25" customHeight="1">
      <x:c r="A24" s="9" t="n">
        <x:v>19</x:v>
      </x:c>
      <x:c r="B24" s="9" t="n">
        <x:f>'Settings'!$B$6+(A24-1)*'Settings'!$B$7</x:f>
        <x:v>264</x:v>
      </x:c>
      <x:c r="C24" s="9" t="n">
        <x:f>'Settings'!$B$8+(A24-1)*'Settings'!$B$9</x:f>
        <x:v>56</x:v>
      </x:c>
      <x:c r="D24" s="9" t="n">
        <x:f>IF(A24='Settings'!$B$10,0,'Settings'!$B$11+(A24-1)*'Settings'!$B$12)</x:f>
        <x:v>440</x:v>
      </x:c>
      <x:c r="E24" s="9" t="n">
        <x:f>E23+D23</x:f>
        <x:v>4500</x:v>
      </x:c>
    </x:row>
    <x:row r="25" ht="25" customHeight="1">
      <x:c r="A25" s="2" t="n">
        <x:v>20</x:v>
      </x:c>
      <x:c r="B25" s="2" t="n">
        <x:f>'Settings'!$B$6+(A25-1)*'Settings'!$B$7</x:f>
        <x:v>272</x:v>
      </x:c>
      <x:c r="C25" s="2" t="n">
        <x:f>'Settings'!$B$8+(A25-1)*'Settings'!$B$9</x:f>
        <x:v>58</x:v>
      </x:c>
      <x:c r="D25" s="2" t="n">
        <x:f>IF(A25='Settings'!$B$10,0,'Settings'!$B$11+(A25-1)*'Settings'!$B$12)</x:f>
        <x:v>460</x:v>
      </x:c>
      <x:c r="E25" s="2" t="n">
        <x:f>E24+D24</x:f>
        <x:v>4940</x:v>
      </x:c>
    </x:row>
    <x:row r="26" ht="25" customHeight="1">
      <x:c r="A26" s="9" t="n">
        <x:v>21</x:v>
      </x:c>
      <x:c r="B26" s="9" t="n">
        <x:f>'Settings'!$B$6+(A26-1)*'Settings'!$B$7</x:f>
        <x:v>280</x:v>
      </x:c>
      <x:c r="C26" s="9" t="n">
        <x:f>'Settings'!$B$8+(A26-1)*'Settings'!$B$9</x:f>
        <x:v>60</x:v>
      </x:c>
      <x:c r="D26" s="9" t="n">
        <x:f>IF(A26='Settings'!$B$10,0,'Settings'!$B$11+(A26-1)*'Settings'!$B$12)</x:f>
        <x:v>480</x:v>
      </x:c>
      <x:c r="E26" s="9" t="n">
        <x:f>E25+D25</x:f>
        <x:v>5400</x:v>
      </x:c>
    </x:row>
    <x:row r="27" ht="25" customHeight="1">
      <x:c r="A27" s="2" t="n">
        <x:v>22</x:v>
      </x:c>
      <x:c r="B27" s="2" t="n">
        <x:f>'Settings'!$B$6+(A27-1)*'Settings'!$B$7</x:f>
        <x:v>288</x:v>
      </x:c>
      <x:c r="C27" s="2" t="n">
        <x:f>'Settings'!$B$8+(A27-1)*'Settings'!$B$9</x:f>
        <x:v>62</x:v>
      </x:c>
      <x:c r="D27" s="2" t="n">
        <x:f>IF(A27='Settings'!$B$10,0,'Settings'!$B$11+(A27-1)*'Settings'!$B$12)</x:f>
        <x:v>500</x:v>
      </x:c>
      <x:c r="E27" s="2" t="n">
        <x:f>E26+D26</x:f>
        <x:v>5880</x:v>
      </x:c>
    </x:row>
    <x:row r="28" ht="25" customHeight="1">
      <x:c r="A28" s="9" t="n">
        <x:v>23</x:v>
      </x:c>
      <x:c r="B28" s="9" t="n">
        <x:f>'Settings'!$B$6+(A28-1)*'Settings'!$B$7</x:f>
        <x:v>296</x:v>
      </x:c>
      <x:c r="C28" s="9" t="n">
        <x:f>'Settings'!$B$8+(A28-1)*'Settings'!$B$9</x:f>
        <x:v>64</x:v>
      </x:c>
      <x:c r="D28" s="9" t="n">
        <x:f>IF(A28='Settings'!$B$10,0,'Settings'!$B$11+(A28-1)*'Settings'!$B$12)</x:f>
        <x:v>520</x:v>
      </x:c>
      <x:c r="E28" s="9" t="n">
        <x:f>E27+D27</x:f>
        <x:v>6380</x:v>
      </x:c>
    </x:row>
    <x:row r="29" ht="25" customHeight="1">
      <x:c r="A29" s="2" t="n">
        <x:v>24</x:v>
      </x:c>
      <x:c r="B29" s="2" t="n">
        <x:f>'Settings'!$B$6+(A29-1)*'Settings'!$B$7</x:f>
        <x:v>304</x:v>
      </x:c>
      <x:c r="C29" s="2" t="n">
        <x:f>'Settings'!$B$8+(A29-1)*'Settings'!$B$9</x:f>
        <x:v>66</x:v>
      </x:c>
      <x:c r="D29" s="2" t="n">
        <x:f>IF(A29='Settings'!$B$10,0,'Settings'!$B$11+(A29-1)*'Settings'!$B$12)</x:f>
        <x:v>540</x:v>
      </x:c>
      <x:c r="E29" s="2" t="n">
        <x:f>E28+D28</x:f>
        <x:v>6900</x:v>
      </x:c>
    </x:row>
    <x:row r="30" ht="25" customHeight="1">
      <x:c r="A30" s="9" t="n">
        <x:v>25</x:v>
      </x:c>
      <x:c r="B30" s="9" t="n">
        <x:f>'Settings'!$B$6+(A30-1)*'Settings'!$B$7</x:f>
        <x:v>312</x:v>
      </x:c>
      <x:c r="C30" s="9" t="n">
        <x:f>'Settings'!$B$8+(A30-1)*'Settings'!$B$9</x:f>
        <x:v>68</x:v>
      </x:c>
      <x:c r="D30" s="9" t="n">
        <x:f>IF(A30='Settings'!$B$10,0,'Settings'!$B$11+(A30-1)*'Settings'!$B$12)</x:f>
        <x:v>560</x:v>
      </x:c>
      <x:c r="E30" s="9" t="n">
        <x:f>E29+D29</x:f>
        <x:v>7440</x:v>
      </x:c>
    </x:row>
    <x:row r="31" ht="25" customHeight="1">
      <x:c r="A31" s="2" t="n">
        <x:v>26</x:v>
      </x:c>
      <x:c r="B31" s="2" t="n">
        <x:f>'Settings'!$B$6+(A31-1)*'Settings'!$B$7</x:f>
        <x:v>320</x:v>
      </x:c>
      <x:c r="C31" s="2" t="n">
        <x:f>'Settings'!$B$8+(A31-1)*'Settings'!$B$9</x:f>
        <x:v>70</x:v>
      </x:c>
      <x:c r="D31" s="2" t="n">
        <x:f>IF(A31='Settings'!$B$10,0,'Settings'!$B$11+(A31-1)*'Settings'!$B$12)</x:f>
        <x:v>580</x:v>
      </x:c>
      <x:c r="E31" s="2" t="n">
        <x:f>E30+D30</x:f>
        <x:v>8000</x:v>
      </x:c>
    </x:row>
    <x:row r="32" ht="25" customHeight="1">
      <x:c r="A32" s="9" t="n">
        <x:v>27</x:v>
      </x:c>
      <x:c r="B32" s="9" t="n">
        <x:f>'Settings'!$B$6+(A32-1)*'Settings'!$B$7</x:f>
        <x:v>328</x:v>
      </x:c>
      <x:c r="C32" s="9" t="n">
        <x:f>'Settings'!$B$8+(A32-1)*'Settings'!$B$9</x:f>
        <x:v>72</x:v>
      </x:c>
      <x:c r="D32" s="9" t="n">
        <x:f>IF(A32='Settings'!$B$10,0,'Settings'!$B$11+(A32-1)*'Settings'!$B$12)</x:f>
        <x:v>600</x:v>
      </x:c>
      <x:c r="E32" s="9" t="n">
        <x:f>E31+D31</x:f>
        <x:v>8580</x:v>
      </x:c>
    </x:row>
    <x:row r="33" ht="25" customHeight="1">
      <x:c r="A33" s="2" t="n">
        <x:v>28</x:v>
      </x:c>
      <x:c r="B33" s="2" t="n">
        <x:f>'Settings'!$B$6+(A33-1)*'Settings'!$B$7</x:f>
        <x:v>336</x:v>
      </x:c>
      <x:c r="C33" s="2" t="n">
        <x:f>'Settings'!$B$8+(A33-1)*'Settings'!$B$9</x:f>
        <x:v>74</x:v>
      </x:c>
      <x:c r="D33" s="2" t="n">
        <x:f>IF(A33='Settings'!$B$10,0,'Settings'!$B$11+(A33-1)*'Settings'!$B$12)</x:f>
        <x:v>620</x:v>
      </x:c>
      <x:c r="E33" s="2" t="n">
        <x:f>E32+D32</x:f>
        <x:v>9180</x:v>
      </x:c>
    </x:row>
    <x:row r="34" ht="25" customHeight="1">
      <x:c r="A34" s="9" t="n">
        <x:v>29</x:v>
      </x:c>
      <x:c r="B34" s="9" t="n">
        <x:f>'Settings'!$B$6+(A34-1)*'Settings'!$B$7</x:f>
        <x:v>344</x:v>
      </x:c>
      <x:c r="C34" s="9" t="n">
        <x:f>'Settings'!$B$8+(A34-1)*'Settings'!$B$9</x:f>
        <x:v>76</x:v>
      </x:c>
      <x:c r="D34" s="9" t="n">
        <x:f>IF(A34='Settings'!$B$10,0,'Settings'!$B$11+(A34-1)*'Settings'!$B$12)</x:f>
        <x:v>640</x:v>
      </x:c>
      <x:c r="E34" s="9" t="n">
        <x:f>E33+D33</x:f>
        <x:v>9800</x:v>
      </x:c>
    </x:row>
    <x:row r="35" ht="25" customHeight="1">
      <x:c r="A35" s="2" t="n">
        <x:v>30</x:v>
      </x:c>
      <x:c r="B35" s="2" t="n">
        <x:f>'Settings'!$B$6+(A35-1)*'Settings'!$B$7</x:f>
        <x:v>352</x:v>
      </x:c>
      <x:c r="C35" s="2" t="n">
        <x:f>'Settings'!$B$8+(A35-1)*'Settings'!$B$9</x:f>
        <x:v>78</x:v>
      </x:c>
      <x:c r="D35" s="2" t="n">
        <x:f>IF(A35='Settings'!$B$10,0,'Settings'!$B$11+(A35-1)*'Settings'!$B$12)</x:f>
        <x:v>0</x:v>
      </x:c>
      <x:c r="E35" s="2" t="n">
        <x:f>E34+D34</x:f>
        <x:v>10440</x:v>
      </x:c>
    </x:row>
  </x:sheetData>
  <x:pageMargins left="0.7" right="0.7" top="0.75" bottom="0.75" header="0.3" footer="0.3"/>
  <x:tableParts count="1">
    <x:tablePart xmlns:r="http://schemas.openxmlformats.org/officeDocument/2006/relationships" r:id="Ra6fcb5ed43c640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14" hidden="0" customWidth="1"/>
    <x:col min="5" max="5" width="13" hidden="0" customWidth="1"/>
    <x:col min="6" max="6" width="14" hidden="0" customWidth="1"/>
    <x:col min="7" max="7" width="12" hidden="0" customWidth="1"/>
    <x:col min="8" max="8" width="16" hidden="0" customWidth="1"/>
    <x:col min="9" max="9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도식 기본 수치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v0.1 제안값 · 실측 및 게임 테스트 전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8" customHeight="1">
      <x:c r="A5" s="8" t="str">
        <x:v>ID</x:v>
      </x:c>
      <x:c r="B5" s="8" t="str">
        <x:v>이름</x:v>
      </x:c>
      <x:c r="C5" s="8" t="str">
        <x:v>에너지</x:v>
      </x:c>
      <x:c r="D5" s="8" t="str">
        <x:v>쿨다운 s</x:v>
      </x:c>
      <x:c r="E5" s="8" t="str">
        <x:v>피해계수</x:v>
      </x:c>
      <x:c r="F5" s="8" t="str">
        <x:v>사거리 m</x:v>
      </x:c>
      <x:c r="G5" s="8" t="str">
        <x:v>유지 s</x:v>
      </x:c>
      <x:c r="H5" s="8" t="str">
        <x:v>해금 임무</x:v>
      </x:c>
      <x:c r="I5" s="8" t="str">
        <x:v>슬롯</x:v>
      </x:c>
    </x:row>
    <x:row r="6" ht="25" customHeight="1">
      <x:c r="A6" s="9" t="str">
        <x:v>SK001</x:v>
      </x:c>
      <x:c r="B6" s="9" t="str">
        <x:v>파편격</x:v>
      </x:c>
      <x:c r="C6" s="9" t="n">
        <x:v>0</x:v>
      </x:c>
      <x:c r="D6" s="9" t="n">
        <x:v>0</x:v>
      </x:c>
      <x:c r="E6" s="9" t="n">
        <x:v>1</x:v>
      </x:c>
      <x:c r="F6" s="9" t="n">
        <x:v>2.2</x:v>
      </x:c>
      <x:c r="G6" s="9" t="n">
        <x:v>0</x:v>
      </x:c>
      <x:c r="H6" s="9" t="str">
        <x:v>시작</x:v>
      </x:c>
      <x:c r="I6" s="9" t="str">
        <x:v>common</x:v>
      </x:c>
    </x:row>
    <x:row r="7" ht="25" customHeight="1">
      <x:c r="A7" s="2" t="str">
        <x:v>SK002</x:v>
      </x:c>
      <x:c r="B7" s="2" t="str">
        <x:v>회수</x:v>
      </x:c>
      <x:c r="C7" s="2" t="n">
        <x:v>0</x:v>
      </x:c>
      <x:c r="D7" s="2" t="n">
        <x:v>0</x:v>
      </x:c>
      <x:c r="E7" s="2" t="n">
        <x:v>0</x:v>
      </x:c>
      <x:c r="F7" s="2" t="n">
        <x:v>6</x:v>
      </x:c>
      <x:c r="G7" s="2" t="n">
        <x:v>0.4</x:v>
      </x:c>
      <x:c r="H7" s="2" t="str">
        <x:v>시작</x:v>
      </x:c>
      <x:c r="I7" s="2" t="str">
        <x:v>common</x:v>
      </x:c>
    </x:row>
    <x:row r="8" ht="25" customHeight="1">
      <x:c r="A8" s="9" t="str">
        <x:v>SK003</x:v>
      </x:c>
      <x:c r="B8" s="9" t="str">
        <x:v>잔금막</x:v>
      </x:c>
      <x:c r="C8" s="9" t="n">
        <x:v>20</x:v>
      </x:c>
      <x:c r="D8" s="9" t="n">
        <x:v>8</x:v>
      </x:c>
      <x:c r="E8" s="9" t="n">
        <x:v>0</x:v>
      </x:c>
      <x:c r="F8" s="9" t="n">
        <x:v>3</x:v>
      </x:c>
      <x:c r="G8" s="9" t="n">
        <x:v>3</x:v>
      </x:c>
      <x:c r="H8" s="9" t="str">
        <x:v>M001</x:v>
      </x:c>
      <x:c r="I8" s="9" t="str">
        <x:v>active</x:v>
      </x:c>
    </x:row>
    <x:row r="9" ht="25" customHeight="1">
      <x:c r="A9" s="2" t="str">
        <x:v>SK004</x:v>
      </x:c>
      <x:c r="B9" s="2" t="str">
        <x:v>견인선</x:v>
      </x:c>
      <x:c r="C9" s="2" t="n">
        <x:v>12</x:v>
      </x:c>
      <x:c r="D9" s="2" t="n">
        <x:v>4</x:v>
      </x:c>
      <x:c r="E9" s="2" t="n">
        <x:v>1.2</x:v>
      </x:c>
      <x:c r="F9" s="2" t="n">
        <x:v>8</x:v>
      </x:c>
      <x:c r="G9" s="2" t="n">
        <x:v>0</x:v>
      </x:c>
      <x:c r="H9" s="2" t="str">
        <x:v>M001</x:v>
      </x:c>
      <x:c r="I9" s="2" t="str">
        <x:v>active</x:v>
      </x:c>
    </x:row>
    <x:row r="10" ht="25" customHeight="1">
      <x:c r="A10" s="9" t="str">
        <x:v>SK005</x:v>
      </x:c>
      <x:c r="B10" s="9" t="str">
        <x:v>반납</x:v>
      </x:c>
      <x:c r="C10" s="9" t="n">
        <x:v>30</x:v>
      </x:c>
      <x:c r="D10" s="9" t="n">
        <x:v>6</x:v>
      </x:c>
      <x:c r="E10" s="9" t="n">
        <x:v>3</x:v>
      </x:c>
      <x:c r="F10" s="9" t="n">
        <x:v>10</x:v>
      </x:c>
      <x:c r="G10" s="9" t="n">
        <x:v>0</x:v>
      </x:c>
      <x:c r="H10" s="9" t="str">
        <x:v>M006</x:v>
      </x:c>
      <x:c r="I10" s="9" t="str">
        <x:v>active</x:v>
      </x:c>
    </x:row>
    <x:row r="11" ht="25" customHeight="1">
      <x:c r="A11" s="2" t="str">
        <x:v>SK006</x:v>
      </x:c>
      <x:c r="B11" s="2" t="str">
        <x:v>해체점</x:v>
      </x:c>
      <x:c r="C11" s="2" t="n">
        <x:v>25</x:v>
      </x:c>
      <x:c r="D11" s="2" t="n">
        <x:v>10</x:v>
      </x:c>
      <x:c r="E11" s="2" t="n">
        <x:v>2</x:v>
      </x:c>
      <x:c r="F11" s="2" t="n">
        <x:v>7</x:v>
      </x:c>
      <x:c r="G11" s="2" t="n">
        <x:v>0</x:v>
      </x:c>
      <x:c r="H11" s="2" t="str">
        <x:v>M009</x:v>
      </x:c>
      <x:c r="I11" s="2" t="str">
        <x:v>active</x:v>
      </x:c>
    </x:row>
    <x:row r="12" ht="25" customHeight="1">
      <x:c r="A12" s="9" t="str">
        <x:v>SK007</x:v>
      </x:c>
      <x:c r="B12" s="9" t="str">
        <x:v>귀환로</x:v>
      </x:c>
      <x:c r="C12" s="9" t="n">
        <x:v>35</x:v>
      </x:c>
      <x:c r="D12" s="9" t="n">
        <x:v>15</x:v>
      </x:c>
      <x:c r="E12" s="9" t="n">
        <x:v>0</x:v>
      </x:c>
      <x:c r="F12" s="9" t="n">
        <x:v>12</x:v>
      </x:c>
      <x:c r="G12" s="9" t="n">
        <x:v>8</x:v>
      </x:c>
      <x:c r="H12" s="9" t="str">
        <x:v>M012</x:v>
      </x:c>
      <x:c r="I12" s="9" t="str">
        <x:v>active</x:v>
      </x:c>
    </x:row>
    <x:row r="13" ht="25" customHeight="1">
      <x:c r="A13" s="2" t="str">
        <x:v>SK008</x:v>
      </x:c>
      <x:c r="B13" s="2" t="str">
        <x:v>회수권역</x:v>
      </x:c>
      <x:c r="C13" s="2" t="n">
        <x:v>60</x:v>
      </x:c>
      <x:c r="D13" s="2" t="n">
        <x:v>30</x:v>
      </x:c>
      <x:c r="E13" s="2" t="n">
        <x:v>0</x:v>
      </x:c>
      <x:c r="F13" s="2" t="n">
        <x:v>9</x:v>
      </x:c>
      <x:c r="G13" s="2" t="n">
        <x:v>10</x:v>
      </x:c>
      <x:c r="H13" s="2" t="str">
        <x:v>M015</x:v>
      </x:c>
      <x:c r="I13" s="2" t="str">
        <x:v>ultimate</x:v>
      </x:c>
    </x:row>
  </x:sheetData>
  <x:pageMargins left="0.7" right="0.7" top="0.75" bottom="0.75" header="0.3" footer="0.3"/>
  <x:tableParts count="1">
    <x:tablePart xmlns:r="http://schemas.openxmlformats.org/officeDocument/2006/relationships" r:id="R1ca2ed00b290430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7" hidden="0" customWidth="1"/>
    <x:col min="8" max="8" width="15" hidden="0" customWidth="1"/>
    <x:col min="9" max="9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적과 보스 수치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v0.1 제안값 · 실측 및 게임 테스트 전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8" customHeight="1">
      <x:c r="A5" s="8" t="str">
        <x:v>ID</x:v>
      </x:c>
      <x:c r="B5" s="8" t="str">
        <x:v>이름</x:v>
      </x:c>
      <x:c r="C5" s="8" t="str">
        <x:v>HP</x:v>
      </x:c>
      <x:c r="D5" s="8" t="str">
        <x:v>방어력</x:v>
      </x:c>
      <x:c r="E5" s="8" t="str">
        <x:v>공격력</x:v>
      </x:c>
      <x:c r="F5" s="8" t="str">
        <x:v>예고 s</x:v>
      </x:c>
      <x:c r="G5" s="8" t="str">
        <x:v>잔향 에너지</x:v>
      </x:c>
      <x:c r="H5" s="8" t="str">
        <x:v>합금 확률</x:v>
      </x:c>
      <x:c r="I5" s="8" t="str">
        <x:v>연구 확률</x:v>
      </x:c>
    </x:row>
    <x:row r="6" ht="25" customHeight="1">
      <x:c r="A6" s="9" t="str">
        <x:v>EN001</x:v>
      </x:c>
      <x:c r="B6" s="9" t="str">
        <x:v>균열 추적체</x:v>
      </x:c>
      <x:c r="C6" s="9" t="n">
        <x:v>60</x:v>
      </x:c>
      <x:c r="D6" s="9" t="n">
        <x:v>0</x:v>
      </x:c>
      <x:c r="E6" s="9" t="n">
        <x:v>18</x:v>
      </x:c>
      <x:c r="F6" s="9" t="n">
        <x:v>0.8</x:v>
      </x:c>
      <x:c r="G6" s="9" t="n">
        <x:v>8</x:v>
      </x:c>
      <x:c r="H6" s="13" t="n">
        <x:v>0.3</x:v>
      </x:c>
      <x:c r="I6" s="13" t="n">
        <x:v>0.05</x:v>
      </x:c>
    </x:row>
    <x:row r="7" ht="25" customHeight="1">
      <x:c r="A7" s="2" t="str">
        <x:v>EN002</x:v>
      </x:c>
      <x:c r="B7" s="2" t="str">
        <x:v>잔류 포격체</x:v>
      </x:c>
      <x:c r="C7" s="2" t="n">
        <x:v>90</x:v>
      </x:c>
      <x:c r="D7" s="2" t="n">
        <x:v>10</x:v>
      </x:c>
      <x:c r="E7" s="2" t="n">
        <x:v>24</x:v>
      </x:c>
      <x:c r="F7" s="2" t="n">
        <x:v>0.9</x:v>
      </x:c>
      <x:c r="G7" s="2" t="n">
        <x:v>8</x:v>
      </x:c>
      <x:c r="H7" s="14" t="n">
        <x:v>0.3</x:v>
      </x:c>
      <x:c r="I7" s="14" t="n">
        <x:v>0.05</x:v>
      </x:c>
    </x:row>
    <x:row r="8" ht="25" customHeight="1">
      <x:c r="A8" s="9" t="str">
        <x:v>EN003</x:v>
      </x:c>
      <x:c r="B8" s="9" t="str">
        <x:v>기업 방벽병</x:v>
      </x:c>
      <x:c r="C8" s="9" t="n">
        <x:v>180</x:v>
      </x:c>
      <x:c r="D8" s="9" t="n">
        <x:v>25</x:v>
      </x:c>
      <x:c r="E8" s="9" t="n">
        <x:v>24</x:v>
      </x:c>
      <x:c r="F8" s="9" t="n">
        <x:v>0.8</x:v>
      </x:c>
      <x:c r="G8" s="9" t="n">
        <x:v>16</x:v>
      </x:c>
      <x:c r="H8" s="13" t="n">
        <x:v>0.4</x:v>
      </x:c>
      <x:c r="I8" s="13" t="n">
        <x:v>0.1</x:v>
      </x:c>
    </x:row>
    <x:row r="9" ht="25" customHeight="1">
      <x:c r="A9" s="2" t="str">
        <x:v>EN004</x:v>
      </x:c>
      <x:c r="B9" s="2" t="str">
        <x:v>케이블 포획체</x:v>
      </x:c>
      <x:c r="C9" s="2" t="n">
        <x:v>160</x:v>
      </x:c>
      <x:c r="D9" s="2" t="n">
        <x:v>15</x:v>
      </x:c>
      <x:c r="E9" s="2" t="n">
        <x:v>28</x:v>
      </x:c>
      <x:c r="F9" s="2" t="n">
        <x:v>1</x:v>
      </x:c>
      <x:c r="G9" s="2" t="n">
        <x:v>8</x:v>
      </x:c>
      <x:c r="H9" s="14" t="n">
        <x:v>0.3</x:v>
      </x:c>
      <x:c r="I9" s="14" t="n">
        <x:v>0.05</x:v>
      </x:c>
    </x:row>
    <x:row r="10" ht="25" customHeight="1">
      <x:c r="A10" s="9" t="str">
        <x:v>EN005</x:v>
      </x:c>
      <x:c r="B10" s="9" t="str">
        <x:v>표지판 의태체</x:v>
      </x:c>
      <x:c r="C10" s="9" t="n">
        <x:v>220</x:v>
      </x:c>
      <x:c r="D10" s="9" t="n">
        <x:v>10</x:v>
      </x:c>
      <x:c r="E10" s="9" t="n">
        <x:v>32</x:v>
      </x:c>
      <x:c r="F10" s="9" t="n">
        <x:v>1.1</x:v>
      </x:c>
      <x:c r="G10" s="9" t="n">
        <x:v>8</x:v>
      </x:c>
      <x:c r="H10" s="13" t="n">
        <x:v>0.3</x:v>
      </x:c>
      <x:c r="I10" s="13" t="n">
        <x:v>0.05</x:v>
      </x:c>
    </x:row>
    <x:row r="11" ht="25" customHeight="1">
      <x:c r="A11" s="2" t="str">
        <x:v>EN006</x:v>
      </x:c>
      <x:c r="B11" s="2" t="str">
        <x:v>서기관 파수병</x:v>
      </x:c>
      <x:c r="C11" s="2" t="n">
        <x:v>320</x:v>
      </x:c>
      <x:c r="D11" s="2" t="n">
        <x:v>30</x:v>
      </x:c>
      <x:c r="E11" s="2" t="n">
        <x:v>38</x:v>
      </x:c>
      <x:c r="F11" s="2" t="n">
        <x:v>1</x:v>
      </x:c>
      <x:c r="G11" s="2" t="n">
        <x:v>16</x:v>
      </x:c>
      <x:c r="H11" s="14" t="n">
        <x:v>0.4</x:v>
      </x:c>
      <x:c r="I11" s="14" t="n">
        <x:v>0.1</x:v>
      </x:c>
    </x:row>
    <x:row r="12" ht="25" customHeight="1">
      <x:c r="A12" s="9" t="str">
        <x:v>EN007</x:v>
      </x:c>
      <x:c r="B12" s="9" t="str">
        <x:v>위상 방출체</x:v>
      </x:c>
      <x:c r="C12" s="9" t="n">
        <x:v>260</x:v>
      </x:c>
      <x:c r="D12" s="9" t="n">
        <x:v>15</x:v>
      </x:c>
      <x:c r="E12" s="9" t="n">
        <x:v>42</x:v>
      </x:c>
      <x:c r="F12" s="9" t="n">
        <x:v>1.2</x:v>
      </x:c>
      <x:c r="G12" s="9" t="n">
        <x:v>8</x:v>
      </x:c>
      <x:c r="H12" s="13" t="n">
        <x:v>0.3</x:v>
      </x:c>
      <x:c r="I12" s="13" t="n">
        <x:v>0.05</x:v>
      </x:c>
    </x:row>
    <x:row r="13" ht="25" customHeight="1">
      <x:c r="A13" s="2" t="str">
        <x:v>EN008</x:v>
      </x:c>
      <x:c r="B13" s="2" t="str">
        <x:v>폐문 정예병</x:v>
      </x:c>
      <x:c r="C13" s="2" t="n">
        <x:v>420</x:v>
      </x:c>
      <x:c r="D13" s="2" t="n">
        <x:v>40</x:v>
      </x:c>
      <x:c r="E13" s="2" t="n">
        <x:v>45</x:v>
      </x:c>
      <x:c r="F13" s="2" t="n">
        <x:v>1</x:v>
      </x:c>
      <x:c r="G13" s="2" t="n">
        <x:v>16</x:v>
      </x:c>
      <x:c r="H13" s="14" t="n">
        <x:v>0.4</x:v>
      </x:c>
      <x:c r="I13" s="14" t="n">
        <x:v>0.1</x:v>
      </x:c>
    </x:row>
    <x:row r="14" ht="25" customHeight="1">
      <x:c r="A14" s="9" t="str">
        <x:v>BS001</x:v>
      </x:c>
      <x:c r="B14" s="9" t="str">
        <x:v>적재장 융합체</x:v>
      </x:c>
      <x:c r="C14" s="9" t="n">
        <x:v>1400</x:v>
      </x:c>
      <x:c r="D14" s="9" t="n">
        <x:v>20</x:v>
      </x:c>
      <x:c r="E14" s="9" t="n">
        <x:v>32</x:v>
      </x:c>
      <x:c r="F14" s="9" t="n">
        <x:v>1.1</x:v>
      </x:c>
      <x:c r="G14" s="9" t="n">
        <x:v>40</x:v>
      </x:c>
      <x:c r="H14" s="13" t="n">
        <x:v>0</x:v>
      </x:c>
      <x:c r="I14" s="13" t="n">
        <x:v>0</x:v>
      </x:c>
    </x:row>
    <x:row r="15" ht="25" customHeight="1">
      <x:c r="A15" s="2" t="str">
        <x:v>BS002</x:v>
      </x:c>
      <x:c r="B15" s="2" t="str">
        <x:v>주거 방벽핵</x:v>
      </x:c>
      <x:c r="C15" s="2" t="n">
        <x:v>2400</x:v>
      </x:c>
      <x:c r="D15" s="2" t="n">
        <x:v>25</x:v>
      </x:c>
      <x:c r="E15" s="2" t="n">
        <x:v>38</x:v>
      </x:c>
      <x:c r="F15" s="2" t="n">
        <x:v>1.2</x:v>
      </x:c>
      <x:c r="G15" s="2" t="n">
        <x:v>40</x:v>
      </x:c>
      <x:c r="H15" s="14" t="n">
        <x:v>0</x:v>
      </x:c>
      <x:c r="I15" s="14" t="n">
        <x:v>0</x:v>
      </x:c>
    </x:row>
    <x:row r="16" ht="25" customHeight="1">
      <x:c r="A16" s="9" t="str">
        <x:v>BS003</x:v>
      </x:c>
      <x:c r="B16" s="9" t="str">
        <x:v>분기역 수호체</x:v>
      </x:c>
      <x:c r="C16" s="9" t="n">
        <x:v>3600</x:v>
      </x:c>
      <x:c r="D16" s="9" t="n">
        <x:v>30</x:v>
      </x:c>
      <x:c r="E16" s="9" t="n">
        <x:v>44</x:v>
      </x:c>
      <x:c r="F16" s="9" t="n">
        <x:v>1.3</x:v>
      </x:c>
      <x:c r="G16" s="9" t="n">
        <x:v>40</x:v>
      </x:c>
      <x:c r="H16" s="13" t="n">
        <x:v>0</x:v>
      </x:c>
      <x:c r="I16" s="13" t="n">
        <x:v>0</x:v>
      </x:c>
    </x:row>
    <x:row r="17" ht="25" customHeight="1">
      <x:c r="A17" s="2" t="str">
        <x:v>BS004</x:v>
      </x:c>
      <x:c r="B17" s="2" t="str">
        <x:v>추방지의 집행자</x:v>
      </x:c>
      <x:c r="C17" s="2" t="n">
        <x:v>4800</x:v>
      </x:c>
      <x:c r="D17" s="2" t="n">
        <x:v>35</x:v>
      </x:c>
      <x:c r="E17" s="2" t="n">
        <x:v>50</x:v>
      </x:c>
      <x:c r="F17" s="2" t="n">
        <x:v>1.2</x:v>
      </x:c>
      <x:c r="G17" s="2" t="n">
        <x:v>40</x:v>
      </x:c>
      <x:c r="H17" s="14" t="n">
        <x:v>0</x:v>
      </x:c>
      <x:c r="I17" s="14" t="n">
        <x:v>0</x:v>
      </x:c>
    </x:row>
    <x:row r="18" ht="25" customHeight="1">
      <x:c r="A18" s="9" t="str">
        <x:v>BS005</x:v>
      </x:c>
      <x:c r="B18" s="9" t="str">
        <x:v>역류 실험체</x:v>
      </x:c>
      <x:c r="C18" s="9" t="n">
        <x:v>5800</x:v>
      </x:c>
      <x:c r="D18" s="9" t="n">
        <x:v>35</x:v>
      </x:c>
      <x:c r="E18" s="9" t="n">
        <x:v>54</x:v>
      </x:c>
      <x:c r="F18" s="9" t="n">
        <x:v>1.2</x:v>
      </x:c>
      <x:c r="G18" s="9" t="n">
        <x:v>40</x:v>
      </x:c>
      <x:c r="H18" s="13" t="n">
        <x:v>0</x:v>
      </x:c>
      <x:c r="I18" s="13" t="n">
        <x:v>0</x:v>
      </x:c>
    </x:row>
    <x:row r="19" ht="25" customHeight="1">
      <x:c r="A19" s="2" t="str">
        <x:v>BS006</x:v>
      </x:c>
      <x:c r="B19" s="2" t="str">
        <x:v>폐문핵</x:v>
      </x:c>
      <x:c r="C19" s="2" t="n">
        <x:v>7200</x:v>
      </x:c>
      <x:c r="D19" s="2" t="n">
        <x:v>40</x:v>
      </x:c>
      <x:c r="E19" s="2" t="n">
        <x:v>58</x:v>
      </x:c>
      <x:c r="F19" s="2" t="n">
        <x:v>1.4</x:v>
      </x:c>
      <x:c r="G19" s="2" t="n">
        <x:v>40</x:v>
      </x:c>
      <x:c r="H19" s="14" t="n">
        <x:v>0</x:v>
      </x:c>
      <x:c r="I19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d39c3781f64c5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26" hidden="0" customWidth="1"/>
    <x:col min="4" max="4" width="15" hidden="0" customWidth="1"/>
    <x:col min="5" max="5" width="16" hidden="0" customWidth="1"/>
    <x:col min="6" max="6" width="14" hidden="0" customWidth="1"/>
    <x:col min="7" max="7" width="16" hidden="0" customWidth="1"/>
    <x:col min="8" max="8" width="13" hidden="0" customWidth="1"/>
    <x:col min="9" max="9" width="1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주 임무와 보상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v0.1 제안값 · 실측 및 게임 테스트 전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8" customHeight="1">
      <x:c r="A5" s="8" t="str">
        <x:v>ID</x:v>
      </x:c>
      <x:c r="B5" s="8" t="str">
        <x:v>장</x:v>
      </x:c>
      <x:c r="C5" s="8" t="str">
        <x:v>이름</x:v>
      </x:c>
      <x:c r="D5" s="8" t="str">
        <x:v>추천 레벨</x:v>
      </x:c>
      <x:c r="E5" s="8" t="str">
        <x:v>크레딧</x:v>
      </x:c>
      <x:c r="F5" s="8" t="str">
        <x:v>XP</x:v>
      </x:c>
      <x:c r="G5" s="8" t="str">
        <x:v>구조 인원</x:v>
      </x:c>
      <x:c r="H5" s="8" t="str">
        <x:v>보스</x:v>
      </x:c>
      <x:c r="I5" s="8" t="str">
        <x:v>목표 분</x:v>
      </x:c>
    </x:row>
    <x:row r="6" ht="25" customHeight="1">
      <x:c r="A6" s="9" t="str">
        <x:v>M001</x:v>
      </x:c>
      <x:c r="B6" s="9" t="n">
        <x:v>1</x:v>
      </x:c>
      <x:c r="C6" s="9" t="str">
        <x:v>물류센터 귀환</x:v>
      </x:c>
      <x:c r="D6" s="9" t="n">
        <x:v>1</x:v>
      </x:c>
      <x:c r="E6" s="9" t="n">
        <x:v>400</x:v>
      </x:c>
      <x:c r="F6" s="9" t="n">
        <x:v>100</x:v>
      </x:c>
      <x:c r="G6" s="9" t="n">
        <x:v>7</x:v>
      </x:c>
      <x:c r="H6" s="9" t="str">
        <x:v>BS001</x:v>
      </x:c>
      <x:c r="I6" s="9" t="n">
        <x:v>20</x:v>
      </x:c>
    </x:row>
    <x:row r="7" ht="25" customHeight="1">
      <x:c r="A7" s="2" t="str">
        <x:v>M002</x:v>
      </x:c>
      <x:c r="B7" s="2" t="n">
        <x:v>1</x:v>
      </x:c>
      <x:c r="C7" s="2" t="str">
        <x:v>학교의 안전선</x:v>
      </x:c>
      <x:c r="D7" s="2" t="n">
        <x:v>2</x:v>
      </x:c>
      <x:c r="E7" s="2" t="n">
        <x:v>550</x:v>
      </x:c>
      <x:c r="F7" s="2" t="n">
        <x:v>140</x:v>
      </x:c>
      <x:c r="G7" s="2" t="n">
        <x:v>12</x:v>
      </x:c>
      <x:c r="H7" s="2" t="str">
        <x:v>없음</x:v>
      </x:c>
      <x:c r="I7" s="2" t="n">
        <x:v>25</x:v>
      </x:c>
    </x:row>
    <x:row r="8" ht="25" customHeight="1">
      <x:c r="A8" s="9" t="str">
        <x:v>M003</x:v>
      </x:c>
      <x:c r="B8" s="9" t="n">
        <x:v>1</x:v>
      </x:c>
      <x:c r="C8" s="9" t="str">
        <x:v>남겨진 원본</x:v>
      </x:c>
      <x:c r="D8" s="9" t="n">
        <x:v>4</x:v>
      </x:c>
      <x:c r="E8" s="9" t="n">
        <x:v>800</x:v>
      </x:c>
      <x:c r="F8" s="9" t="n">
        <x:v>200</x:v>
      </x:c>
      <x:c r="G8" s="9" t="n">
        <x:v>0</x:v>
      </x:c>
      <x:c r="H8" s="9" t="str">
        <x:v>BS001</x:v>
      </x:c>
      <x:c r="I8" s="9" t="n">
        <x:v>25</x:v>
      </x:c>
    </x:row>
    <x:row r="9" ht="25" customHeight="1">
      <x:c r="A9" s="2" t="str">
        <x:v>M004</x:v>
      </x:c>
      <x:c r="B9" s="2" t="n">
        <x:v>2</x:v>
      </x:c>
      <x:c r="C9" s="2" t="str">
        <x:v>공동 계약</x:v>
      </x:c>
      <x:c r="D9" s="2" t="n">
        <x:v>5</x:v>
      </x:c>
      <x:c r="E9" s="2" t="n">
        <x:v>900</x:v>
      </x:c>
      <x:c r="F9" s="2" t="n">
        <x:v>240</x:v>
      </x:c>
      <x:c r="G9" s="2" t="n">
        <x:v>10</x:v>
      </x:c>
      <x:c r="H9" s="2" t="str">
        <x:v>없음</x:v>
      </x:c>
      <x:c r="I9" s="2" t="n">
        <x:v>25</x:v>
      </x:c>
    </x:row>
    <x:row r="10" ht="25" customHeight="1">
      <x:c r="A10" s="9" t="str">
        <x:v>M005</x:v>
      </x:c>
      <x:c r="B10" s="9" t="n">
        <x:v>2</x:v>
      </x:c>
      <x:c r="C10" s="9" t="str">
        <x:v>아파트 방벽</x:v>
      </x:c>
      <x:c r="D10" s="9" t="n">
        <x:v>7</x:v>
      </x:c>
      <x:c r="E10" s="9" t="n">
        <x:v>1100</x:v>
      </x:c>
      <x:c r="F10" s="9" t="n">
        <x:v>300</x:v>
      </x:c>
      <x:c r="G10" s="9" t="n">
        <x:v>15</x:v>
      </x:c>
      <x:c r="H10" s="9" t="str">
        <x:v>없음</x:v>
      </x:c>
      <x:c r="I10" s="9" t="n">
        <x:v>25</x:v>
      </x:c>
    </x:row>
    <x:row r="11" ht="25" customHeight="1">
      <x:c r="A11" s="2" t="str">
        <x:v>M006</x:v>
      </x:c>
      <x:c r="B11" s="2" t="n">
        <x:v>2</x:v>
      </x:c>
      <x:c r="C11" s="2" t="str">
        <x:v>일곱 개의 이름</x:v>
      </x:c>
      <x:c r="D11" s="2" t="n">
        <x:v>9</x:v>
      </x:c>
      <x:c r="E11" s="2" t="n">
        <x:v>1400</x:v>
      </x:c>
      <x:c r="F11" s="2" t="n">
        <x:v>400</x:v>
      </x:c>
      <x:c r="G11" s="2" t="n">
        <x:v>20</x:v>
      </x:c>
      <x:c r="H11" s="2" t="str">
        <x:v>BS002</x:v>
      </x:c>
      <x:c r="I11" s="2" t="n">
        <x:v>25</x:v>
      </x:c>
    </x:row>
    <x:row r="12" ht="25" customHeight="1">
      <x:c r="A12" s="9" t="str">
        <x:v>M007</x:v>
      </x:c>
      <x:c r="B12" s="9" t="n">
        <x:v>3</x:v>
      </x:c>
      <x:c r="C12" s="9" t="str">
        <x:v>열한 번째 아이</x:v>
      </x:c>
      <x:c r="D12" s="9" t="n">
        <x:v>10</x:v>
      </x:c>
      <x:c r="E12" s="9" t="n">
        <x:v>1500</x:v>
      </x:c>
      <x:c r="F12" s="9" t="n">
        <x:v>420</x:v>
      </x:c>
      <x:c r="G12" s="9" t="n">
        <x:v>0</x:v>
      </x:c>
      <x:c r="H12" s="9" t="str">
        <x:v>없음</x:v>
      </x:c>
      <x:c r="I12" s="9" t="n">
        <x:v>25</x:v>
      </x:c>
    </x:row>
    <x:row r="13" ht="25" customHeight="1">
      <x:c r="A13" s="2" t="str">
        <x:v>M008</x:v>
      </x:c>
      <x:c r="B13" s="2" t="n">
        <x:v>3</x:v>
      </x:c>
      <x:c r="C13" s="2" t="str">
        <x:v>접히는 노선</x:v>
      </x:c>
      <x:c r="D13" s="2" t="n">
        <x:v>12</x:v>
      </x:c>
      <x:c r="E13" s="2" t="n">
        <x:v>1700</x:v>
      </x:c>
      <x:c r="F13" s="2" t="n">
        <x:v>480</x:v>
      </x:c>
      <x:c r="G13" s="2" t="n">
        <x:v>14</x:v>
      </x:c>
      <x:c r="H13" s="2" t="str">
        <x:v>없음</x:v>
      </x:c>
      <x:c r="I13" s="2" t="n">
        <x:v>25</x:v>
      </x:c>
    </x:row>
    <x:row r="14" ht="25" customHeight="1">
      <x:c r="A14" s="9" t="str">
        <x:v>M009</x:v>
      </x:c>
      <x:c r="B14" s="9" t="n">
        <x:v>3</x:v>
      </x:c>
      <x:c r="C14" s="9" t="str">
        <x:v>서울의 귀환로</x:v>
      </x:c>
      <x:c r="D14" s="9" t="n">
        <x:v>13</x:v>
      </x:c>
      <x:c r="E14" s="9" t="n">
        <x:v>2100</x:v>
      </x:c>
      <x:c r="F14" s="9" t="n">
        <x:v>600</x:v>
      </x:c>
      <x:c r="G14" s="9" t="n">
        <x:v>30</x:v>
      </x:c>
      <x:c r="H14" s="9" t="str">
        <x:v>BS003</x:v>
      </x:c>
      <x:c r="I14" s="9" t="n">
        <x:v>25</x:v>
      </x:c>
    </x:row>
    <x:row r="15" ht="25" customHeight="1">
      <x:c r="A15" s="2" t="str">
        <x:v>M010</x:v>
      </x:c>
      <x:c r="B15" s="2" t="n">
        <x:v>4</x:v>
      </x:c>
      <x:c r="C15" s="2" t="str">
        <x:v>피난 도시</x:v>
      </x:c>
      <x:c r="D15" s="2" t="n">
        <x:v>15</x:v>
      </x:c>
      <x:c r="E15" s="2" t="n">
        <x:v>2200</x:v>
      </x:c>
      <x:c r="F15" s="2" t="n">
        <x:v>620</x:v>
      </x:c>
      <x:c r="G15" s="2" t="n">
        <x:v>8</x:v>
      </x:c>
      <x:c r="H15" s="2" t="str">
        <x:v>없음</x:v>
      </x:c>
      <x:c r="I15" s="2" t="n">
        <x:v>25</x:v>
      </x:c>
    </x:row>
    <x:row r="16" ht="25" customHeight="1">
      <x:c r="A16" s="9" t="str">
        <x:v>M011</x:v>
      </x:c>
      <x:c r="B16" s="9" t="n">
        <x:v>4</x:v>
      </x:c>
      <x:c r="C16" s="9" t="str">
        <x:v>앵커의 반대편</x:v>
      </x:c>
      <x:c r="D16" s="9" t="n">
        <x:v>17</x:v>
      </x:c>
      <x:c r="E16" s="9" t="n">
        <x:v>2400</x:v>
      </x:c>
      <x:c r="F16" s="9" t="n">
        <x:v>700</x:v>
      </x:c>
      <x:c r="G16" s="9" t="n">
        <x:v>0</x:v>
      </x:c>
      <x:c r="H16" s="9" t="str">
        <x:v>없음</x:v>
      </x:c>
      <x:c r="I16" s="9" t="n">
        <x:v>25</x:v>
      </x:c>
    </x:row>
    <x:row r="17" ht="25" customHeight="1">
      <x:c r="A17" s="2" t="str">
        <x:v>M012</x:v>
      </x:c>
      <x:c r="B17" s="2" t="n">
        <x:v>4</x:v>
      </x:c>
      <x:c r="C17" s="2" t="str">
        <x:v>아버지의 지도</x:v>
      </x:c>
      <x:c r="D17" s="2" t="n">
        <x:v>18</x:v>
      </x:c>
      <x:c r="E17" s="2" t="n">
        <x:v>2800</x:v>
      </x:c>
      <x:c r="F17" s="2" t="n">
        <x:v>800</x:v>
      </x:c>
      <x:c r="G17" s="2" t="n">
        <x:v>16</x:v>
      </x:c>
      <x:c r="H17" s="2" t="str">
        <x:v>BS004</x:v>
      </x:c>
      <x:c r="I17" s="2" t="n">
        <x:v>25</x:v>
      </x:c>
    </x:row>
    <x:row r="18" ht="25" customHeight="1">
      <x:c r="A18" s="9" t="str">
        <x:v>M013</x:v>
      </x:c>
      <x:c r="B18" s="9" t="n">
        <x:v>5</x:v>
      </x:c>
      <x:c r="C18" s="9" t="str">
        <x:v>공개할 권리</x:v>
      </x:c>
      <x:c r="D18" s="9" t="n">
        <x:v>20</x:v>
      </x:c>
      <x:c r="E18" s="9" t="n">
        <x:v>2900</x:v>
      </x:c>
      <x:c r="F18" s="9" t="n">
        <x:v>850</x:v>
      </x:c>
      <x:c r="G18" s="9" t="n">
        <x:v>0</x:v>
      </x:c>
      <x:c r="H18" s="9" t="str">
        <x:v>없음</x:v>
      </x:c>
      <x:c r="I18" s="9" t="n">
        <x:v>25</x:v>
      </x:c>
    </x:row>
    <x:row r="19" ht="25" customHeight="1">
      <x:c r="A19" s="2" t="str">
        <x:v>M014</x:v>
      </x:c>
      <x:c r="B19" s="2" t="n">
        <x:v>5</x:v>
      </x:c>
      <x:c r="C19" s="2" t="str">
        <x:v>해법의 온도</x:v>
      </x:c>
      <x:c r="D19" s="2" t="n">
        <x:v>21</x:v>
      </x:c>
      <x:c r="E19" s="2" t="n">
        <x:v>3200</x:v>
      </x:c>
      <x:c r="F19" s="2" t="n">
        <x:v>900</x:v>
      </x:c>
      <x:c r="G19" s="2" t="n">
        <x:v>0</x:v>
      </x:c>
      <x:c r="H19" s="2" t="str">
        <x:v>없음</x:v>
      </x:c>
      <x:c r="I19" s="2" t="n">
        <x:v>25</x:v>
      </x:c>
    </x:row>
    <x:row r="20" ht="25" customHeight="1">
      <x:c r="A20" s="9" t="str">
        <x:v>M015</x:v>
      </x:c>
      <x:c r="B20" s="9" t="n">
        <x:v>5</x:v>
      </x:c>
      <x:c r="C20" s="9" t="str">
        <x:v>첫 공동 보호구역</x:v>
      </x:c>
      <x:c r="D20" s="9" t="n">
        <x:v>23</x:v>
      </x:c>
      <x:c r="E20" s="9" t="n">
        <x:v>3600</x:v>
      </x:c>
      <x:c r="F20" s="9" t="n">
        <x:v>1100</x:v>
      </x:c>
      <x:c r="G20" s="9" t="n">
        <x:v>12</x:v>
      </x:c>
      <x:c r="H20" s="9" t="str">
        <x:v>BS005</x:v>
      </x:c>
      <x:c r="I20" s="9" t="n">
        <x:v>25</x:v>
      </x:c>
    </x:row>
    <x:row r="21" ht="25" customHeight="1">
      <x:c r="A21" s="2" t="str">
        <x:v>M016</x:v>
      </x:c>
      <x:c r="B21" s="2" t="n">
        <x:v>6</x:v>
      </x:c>
      <x:c r="C21" s="2" t="str">
        <x:v>폐문 명령</x:v>
      </x:c>
      <x:c r="D21" s="2" t="n">
        <x:v>25</x:v>
      </x:c>
      <x:c r="E21" s="2" t="n">
        <x:v>3800</x:v>
      </x:c>
      <x:c r="F21" s="2" t="n">
        <x:v>1200</x:v>
      </x:c>
      <x:c r="G21" s="2" t="n">
        <x:v>0</x:v>
      </x:c>
      <x:c r="H21" s="2" t="str">
        <x:v>없음</x:v>
      </x:c>
      <x:c r="I21" s="2" t="n">
        <x:v>25</x:v>
      </x:c>
    </x:row>
    <x:row r="22" ht="25" customHeight="1">
      <x:c r="A22" s="9" t="str">
        <x:v>M017</x:v>
      </x:c>
      <x:c r="B22" s="9" t="n">
        <x:v>6</x:v>
      </x:c>
      <x:c r="C22" s="9" t="str">
        <x:v>세 개의 전선</x:v>
      </x:c>
      <x:c r="D22" s="9" t="n">
        <x:v>26</x:v>
      </x:c>
      <x:c r="E22" s="9" t="n">
        <x:v>4200</x:v>
      </x:c>
      <x:c r="F22" s="9" t="n">
        <x:v>1300</x:v>
      </x:c>
      <x:c r="G22" s="9" t="n">
        <x:v>24</x:v>
      </x:c>
      <x:c r="H22" s="9" t="str">
        <x:v>없음</x:v>
      </x:c>
      <x:c r="I22" s="9" t="n">
        <x:v>25</x:v>
      </x:c>
    </x:row>
    <x:row r="23" ht="25" customHeight="1">
      <x:c r="A23" s="2" t="str">
        <x:v>M018</x:v>
      </x:c>
      <x:c r="B23" s="2" t="n">
        <x:v>6</x:v>
      </x:c>
      <x:c r="C23" s="2" t="str">
        <x:v>마지막 회수</x:v>
      </x:c>
      <x:c r="D23" s="2" t="n">
        <x:v>28</x:v>
      </x:c>
      <x:c r="E23" s="2" t="n">
        <x:v>5000</x:v>
      </x:c>
      <x:c r="F23" s="2" t="n">
        <x:v>1500</x:v>
      </x:c>
      <x:c r="G23" s="2" t="n">
        <x:v>7</x:v>
      </x:c>
      <x:c r="H23" s="2" t="str">
        <x:v>BS006</x:v>
      </x:c>
      <x:c r="I23" s="2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d85ada28eea94bf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주 임무 크레딧 흐름</x:v>
      </x:c>
      <x:c r="B2" s="2"/>
      <x:c r="C2" s="2"/>
      <x:c r="D2" s="2"/>
      <x:c r="E2" s="2"/>
    </x:row>
    <x:row r="3" ht="25" customHeight="1">
      <x:c r="A3" s="4" t="str">
        <x:v>v0.1 제안값 · 실측 및 게임 테스트 전</x:v>
      </x:c>
      <x:c r="B3" s="2"/>
      <x:c r="C3" s="2"/>
      <x:c r="D3" s="2"/>
      <x:c r="E3" s="2"/>
    </x:row>
    <x:row r="4" ht="25" customHeight="1">
      <x:c r="A4" s="2"/>
      <x:c r="B4" s="2"/>
      <x:c r="C4" s="2"/>
      <x:c r="D4" s="2"/>
      <x:c r="E4" s="2"/>
    </x:row>
    <x:row r="5" ht="38" customHeight="1">
      <x:c r="A5" s="8" t="str">
        <x:v>임무 ID</x:v>
      </x:c>
      <x:c r="B5" s="8" t="str">
        <x:v>기초 잔액</x:v>
      </x:c>
      <x:c r="C5" s="8" t="str">
        <x:v>계약 보상</x:v>
      </x:c>
      <x:c r="D5" s="8" t="str">
        <x:v>권장 장비 비용</x:v>
      </x:c>
      <x:c r="E5" s="8" t="str">
        <x:v>기말 잔액</x:v>
      </x:c>
    </x:row>
    <x:row r="6" ht="25" customHeight="1">
      <x:c r="A6" s="9" t="str">
        <x:v>M001</x:v>
      </x:c>
      <x:c r="B6" s="9" t="n">
        <x:f>0</x:f>
        <x:v>0</x:v>
      </x:c>
      <x:c r="C6" s="9" t="n">
        <x:f>'Missions'!E6</x:f>
        <x:v>400</x:v>
      </x:c>
      <x:c r="D6" s="15" t="n">
        <x:v>300</x:v>
      </x:c>
      <x:c r="E6" s="9" t="n">
        <x:f>B6+C6-D6</x:f>
        <x:v>100</x:v>
      </x:c>
    </x:row>
    <x:row r="7" ht="25" customHeight="1">
      <x:c r="A7" s="2" t="str">
        <x:v>M002</x:v>
      </x:c>
      <x:c r="B7" s="2" t="n">
        <x:f>E6</x:f>
        <x:v>100</x:v>
      </x:c>
      <x:c r="C7" s="2" t="n">
        <x:f>'Missions'!E7</x:f>
        <x:v>550</x:v>
      </x:c>
      <x:c r="D7" s="15" t="n">
        <x:v>500</x:v>
      </x:c>
      <x:c r="E7" s="2" t="n">
        <x:f>B7+C7-D7</x:f>
        <x:v>150</x:v>
      </x:c>
    </x:row>
    <x:row r="8" ht="25" customHeight="1">
      <x:c r="A8" s="9" t="str">
        <x:v>M003</x:v>
      </x:c>
      <x:c r="B8" s="9" t="n">
        <x:f>E7</x:f>
        <x:v>150</x:v>
      </x:c>
      <x:c r="C8" s="9" t="n">
        <x:f>'Missions'!E8</x:f>
        <x:v>800</x:v>
      </x:c>
      <x:c r="D8" s="15" t="n">
        <x:v>700</x:v>
      </x:c>
      <x:c r="E8" s="9" t="n">
        <x:f>B8+C8-D8</x:f>
        <x:v>250</x:v>
      </x:c>
    </x:row>
    <x:row r="9" ht="25" customHeight="1">
      <x:c r="A9" s="2" t="str">
        <x:v>M004</x:v>
      </x:c>
      <x:c r="B9" s="2" t="n">
        <x:f>E8</x:f>
        <x:v>250</x:v>
      </x:c>
      <x:c r="C9" s="2" t="n">
        <x:f>'Missions'!E9</x:f>
        <x:v>900</x:v>
      </x:c>
      <x:c r="D9" s="15" t="n">
        <x:v>600</x:v>
      </x:c>
      <x:c r="E9" s="2" t="n">
        <x:f>B9+C9-D9</x:f>
        <x:v>550</x:v>
      </x:c>
    </x:row>
    <x:row r="10" ht="25" customHeight="1">
      <x:c r="A10" s="9" t="str">
        <x:v>M005</x:v>
      </x:c>
      <x:c r="B10" s="9" t="n">
        <x:f>E9</x:f>
        <x:v>550</x:v>
      </x:c>
      <x:c r="C10" s="9" t="n">
        <x:f>'Missions'!E10</x:f>
        <x:v>1100</x:v>
      </x:c>
      <x:c r="D10" s="15" t="n">
        <x:v>800</x:v>
      </x:c>
      <x:c r="E10" s="9" t="n">
        <x:f>B10+C10-D10</x:f>
        <x:v>850</x:v>
      </x:c>
    </x:row>
    <x:row r="11" ht="25" customHeight="1">
      <x:c r="A11" s="2" t="str">
        <x:v>M006</x:v>
      </x:c>
      <x:c r="B11" s="2" t="n">
        <x:f>E10</x:f>
        <x:v>850</x:v>
      </x:c>
      <x:c r="C11" s="2" t="n">
        <x:f>'Missions'!E11</x:f>
        <x:v>1400</x:v>
      </x:c>
      <x:c r="D11" s="15" t="n">
        <x:v>1000</x:v>
      </x:c>
      <x:c r="E11" s="2" t="n">
        <x:f>B11+C11-D11</x:f>
        <x:v>1250</x:v>
      </x:c>
    </x:row>
    <x:row r="12" ht="25" customHeight="1">
      <x:c r="A12" s="9" t="str">
        <x:v>M007</x:v>
      </x:c>
      <x:c r="B12" s="9" t="n">
        <x:f>E11</x:f>
        <x:v>1250</x:v>
      </x:c>
      <x:c r="C12" s="9" t="n">
        <x:f>'Missions'!E12</x:f>
        <x:v>1500</x:v>
      </x:c>
      <x:c r="D12" s="15" t="n">
        <x:v>1100</x:v>
      </x:c>
      <x:c r="E12" s="9" t="n">
        <x:f>B12+C12-D12</x:f>
        <x:v>1650</x:v>
      </x:c>
    </x:row>
    <x:row r="13" ht="25" customHeight="1">
      <x:c r="A13" s="2" t="str">
        <x:v>M008</x:v>
      </x:c>
      <x:c r="B13" s="2" t="n">
        <x:f>E12</x:f>
        <x:v>1650</x:v>
      </x:c>
      <x:c r="C13" s="2" t="n">
        <x:f>'Missions'!E13</x:f>
        <x:v>1700</x:v>
      </x:c>
      <x:c r="D13" s="15" t="n">
        <x:v>1200</x:v>
      </x:c>
      <x:c r="E13" s="2" t="n">
        <x:f>B13+C13-D13</x:f>
        <x:v>2150</x:v>
      </x:c>
    </x:row>
    <x:row r="14" ht="25" customHeight="1">
      <x:c r="A14" s="9" t="str">
        <x:v>M009</x:v>
      </x:c>
      <x:c r="B14" s="9" t="n">
        <x:f>E13</x:f>
        <x:v>2150</x:v>
      </x:c>
      <x:c r="C14" s="9" t="n">
        <x:f>'Missions'!E14</x:f>
        <x:v>2100</x:v>
      </x:c>
      <x:c r="D14" s="15" t="n">
        <x:v>1600</x:v>
      </x:c>
      <x:c r="E14" s="9" t="n">
        <x:f>B14+C14-D14</x:f>
        <x:v>2650</x:v>
      </x:c>
    </x:row>
    <x:row r="15" ht="25" customHeight="1">
      <x:c r="A15" s="2" t="str">
        <x:v>M010</x:v>
      </x:c>
      <x:c r="B15" s="2" t="n">
        <x:f>E14</x:f>
        <x:v>2650</x:v>
      </x:c>
      <x:c r="C15" s="2" t="n">
        <x:f>'Missions'!E15</x:f>
        <x:v>2200</x:v>
      </x:c>
      <x:c r="D15" s="15" t="n">
        <x:v>1700</x:v>
      </x:c>
      <x:c r="E15" s="2" t="n">
        <x:f>B15+C15-D15</x:f>
        <x:v>3150</x:v>
      </x:c>
    </x:row>
    <x:row r="16" ht="25" customHeight="1">
      <x:c r="A16" s="9" t="str">
        <x:v>M011</x:v>
      </x:c>
      <x:c r="B16" s="9" t="n">
        <x:f>E15</x:f>
        <x:v>3150</x:v>
      </x:c>
      <x:c r="C16" s="9" t="n">
        <x:f>'Missions'!E16</x:f>
        <x:v>2400</x:v>
      </x:c>
      <x:c r="D16" s="15" t="n">
        <x:v>1800</x:v>
      </x:c>
      <x:c r="E16" s="9" t="n">
        <x:f>B16+C16-D16</x:f>
        <x:v>3750</x:v>
      </x:c>
    </x:row>
    <x:row r="17" ht="25" customHeight="1">
      <x:c r="A17" s="2" t="str">
        <x:v>M012</x:v>
      </x:c>
      <x:c r="B17" s="2" t="n">
        <x:f>E16</x:f>
        <x:v>3750</x:v>
      </x:c>
      <x:c r="C17" s="2" t="n">
        <x:f>'Missions'!E17</x:f>
        <x:v>2800</x:v>
      </x:c>
      <x:c r="D17" s="15" t="n">
        <x:v>2100</x:v>
      </x:c>
      <x:c r="E17" s="2" t="n">
        <x:f>B17+C17-D17</x:f>
        <x:v>4450</x:v>
      </x:c>
    </x:row>
    <x:row r="18" ht="25" customHeight="1">
      <x:c r="A18" s="9" t="str">
        <x:v>M013</x:v>
      </x:c>
      <x:c r="B18" s="9" t="n">
        <x:f>E17</x:f>
        <x:v>4450</x:v>
      </x:c>
      <x:c r="C18" s="9" t="n">
        <x:f>'Missions'!E18</x:f>
        <x:v>2900</x:v>
      </x:c>
      <x:c r="D18" s="15" t="n">
        <x:v>2200</x:v>
      </x:c>
      <x:c r="E18" s="9" t="n">
        <x:f>B18+C18-D18</x:f>
        <x:v>5150</x:v>
      </x:c>
    </x:row>
    <x:row r="19" ht="25" customHeight="1">
      <x:c r="A19" s="2" t="str">
        <x:v>M014</x:v>
      </x:c>
      <x:c r="B19" s="2" t="n">
        <x:f>E18</x:f>
        <x:v>5150</x:v>
      </x:c>
      <x:c r="C19" s="2" t="n">
        <x:f>'Missions'!E19</x:f>
        <x:v>3200</x:v>
      </x:c>
      <x:c r="D19" s="15" t="n">
        <x:v>2400</x:v>
      </x:c>
      <x:c r="E19" s="2" t="n">
        <x:f>B19+C19-D19</x:f>
        <x:v>5950</x:v>
      </x:c>
    </x:row>
    <x:row r="20" ht="25" customHeight="1">
      <x:c r="A20" s="9" t="str">
        <x:v>M015</x:v>
      </x:c>
      <x:c r="B20" s="9" t="n">
        <x:f>E19</x:f>
        <x:v>5950</x:v>
      </x:c>
      <x:c r="C20" s="9" t="n">
        <x:f>'Missions'!E20</x:f>
        <x:v>3600</x:v>
      </x:c>
      <x:c r="D20" s="15" t="n">
        <x:v>2700</x:v>
      </x:c>
      <x:c r="E20" s="9" t="n">
        <x:f>B20+C20-D20</x:f>
        <x:v>6850</x:v>
      </x:c>
    </x:row>
    <x:row r="21" ht="25" customHeight="1">
      <x:c r="A21" s="2" t="str">
        <x:v>M016</x:v>
      </x:c>
      <x:c r="B21" s="2" t="n">
        <x:f>E20</x:f>
        <x:v>6850</x:v>
      </x:c>
      <x:c r="C21" s="2" t="n">
        <x:f>'Missions'!E21</x:f>
        <x:v>3800</x:v>
      </x:c>
      <x:c r="D21" s="15" t="n">
        <x:v>2900</x:v>
      </x:c>
      <x:c r="E21" s="2" t="n">
        <x:f>B21+C21-D21</x:f>
        <x:v>7750</x:v>
      </x:c>
    </x:row>
    <x:row r="22" ht="25" customHeight="1">
      <x:c r="A22" s="9" t="str">
        <x:v>M017</x:v>
      </x:c>
      <x:c r="B22" s="9" t="n">
        <x:f>E21</x:f>
        <x:v>7750</x:v>
      </x:c>
      <x:c r="C22" s="9" t="n">
        <x:f>'Missions'!E22</x:f>
        <x:v>4200</x:v>
      </x:c>
      <x:c r="D22" s="15" t="n">
        <x:v>3200</x:v>
      </x:c>
      <x:c r="E22" s="9" t="n">
        <x:f>B22+C22-D22</x:f>
        <x:v>8750</x:v>
      </x:c>
    </x:row>
    <x:row r="23" ht="25" customHeight="1">
      <x:c r="A23" s="2" t="str">
        <x:v>M018</x:v>
      </x:c>
      <x:c r="B23" s="2" t="n">
        <x:f>E22</x:f>
        <x:v>8750</x:v>
      </x:c>
      <x:c r="C23" s="2" t="n">
        <x:f>'Missions'!E23</x:f>
        <x:v>5000</x:v>
      </x:c>
      <x:c r="D23" s="15" t="n">
        <x:v>3500</x:v>
      </x:c>
      <x:c r="E23" s="2" t="n">
        <x:f>B23+C23-D23</x:f>
        <x:v>10250</x:v>
      </x:c>
    </x:row>
  </x:sheetData>
  <x:conditionalFormatting sqref="E6:E23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6dac736ff94a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0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일반 적의 영구 재료 드롭</x:v>
      </x:c>
      <x:c r="B2" s="2"/>
      <x:c r="C2" s="2"/>
      <x:c r="D2" s="2"/>
    </x:row>
    <x:row r="3" ht="25" customHeight="1">
      <x:c r="A3" s="4" t="str">
        <x:v>v0.1 제안값 · 실측 및 게임 테스트 전</x:v>
      </x:c>
      <x:c r="B3" s="2"/>
      <x:c r="C3" s="2"/>
      <x:c r="D3" s="2"/>
    </x:row>
    <x:row r="4" ht="25" customHeight="1">
      <x:c r="A4" s="2"/>
      <x:c r="B4" s="2"/>
      <x:c r="C4" s="2"/>
      <x:c r="D4" s="2"/>
    </x:row>
    <x:row r="5" ht="38" customHeight="1">
      <x:c r="A5" s="8" t="str">
        <x:v>결과</x:v>
      </x:c>
      <x:c r="B5" s="8" t="str">
        <x:v>확률</x:v>
      </x:c>
      <x:c r="C5" s="8" t="str">
        <x:v>수량</x:v>
      </x:c>
      <x:c r="D5" s="8" t="str">
        <x:v>기대 수량</x:v>
      </x:c>
    </x:row>
    <x:row r="6" ht="25" customHeight="1">
      <x:c r="A6" s="9" t="str">
        <x:v>없음</x:v>
      </x:c>
      <x:c r="B6" s="13" t="n">
        <x:v>0.65</x:v>
      </x:c>
      <x:c r="C6" s="9" t="n">
        <x:v>0</x:v>
      </x:c>
      <x:c r="D6" s="16" t="n">
        <x:f>B6*C6</x:f>
        <x:v>0</x:v>
      </x:c>
    </x:row>
    <x:row r="7" ht="25" customHeight="1">
      <x:c r="A7" s="2" t="str">
        <x:v>합금</x:v>
      </x:c>
      <x:c r="B7" s="14" t="n">
        <x:v>0.3</x:v>
      </x:c>
      <x:c r="C7" s="2" t="n">
        <x:v>1</x:v>
      </x:c>
      <x:c r="D7" s="17" t="n">
        <x:f>B7*C7</x:f>
        <x:v>0.3</x:v>
      </x:c>
    </x:row>
    <x:row r="8" ht="25" customHeight="1">
      <x:c r="A8" s="9" t="str">
        <x:v>연구 조각</x:v>
      </x:c>
      <x:c r="B8" s="13" t="n">
        <x:v>0.05</x:v>
      </x:c>
      <x:c r="C8" s="9" t="n">
        <x:v>1</x:v>
      </x:c>
      <x:c r="D8" s="16" t="n">
        <x:f>B8*C8</x:f>
        <x:v>0.05</x:v>
      </x:c>
    </x:row>
    <x:row r="9" ht="25" customHeight="1">
      <x:c r="A9" s="2" t="str">
        <x:v>합계</x:v>
      </x:c>
      <x:c r="B9" s="14" t="n">
        <x:f>SUM(B6:B8)</x:f>
        <x:v>1</x:v>
      </x:c>
      <x:c r="C9" s="2"/>
      <x:c r="D9" s="17" t="n">
        <x:f>SUM(D6:D8)</x:f>
        <x:v>0.35</x:v>
      </x:c>
    </x:row>
  </x:sheetData>
  <x:conditionalFormatting sqref="B9:B9">
    <x:cfRule type="cellIs" dxfId="1" priority="1" operator="not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ab52cfda6443b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12" hidden="0" customWidth="1"/>
    <x:col min="4" max="4" width="12" hidden="0" customWidth="1"/>
    <x:col min="5" max="5" width="25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18개월 제작 예산 가정</x:v>
      </x:c>
      <x:c r="B2" s="2"/>
      <x:c r="C2" s="2"/>
      <x:c r="D2" s="2"/>
      <x:c r="E2" s="2"/>
    </x:row>
    <x:row r="3" ht="25" customHeight="1">
      <x:c r="A3" s="4" t="str">
        <x:v>v0.1 제안값 · 실측 및 게임 테스트 전</x:v>
      </x:c>
      <x:c r="B3" s="2"/>
      <x:c r="C3" s="2"/>
      <x:c r="D3" s="2"/>
      <x:c r="E3" s="2"/>
    </x:row>
    <x:row r="4" ht="25" customHeight="1">
      <x:c r="A4" s="2"/>
      <x:c r="B4" s="2"/>
      <x:c r="C4" s="2"/>
      <x:c r="D4" s="2"/>
      <x:c r="E4" s="2"/>
    </x:row>
    <x:row r="5" ht="38" customHeight="1">
      <x:c r="A5" s="8" t="str">
        <x:v>항목</x:v>
      </x:c>
      <x:c r="B5" s="8" t="str">
        <x:v>월 단가 원</x:v>
      </x:c>
      <x:c r="C5" s="8" t="str">
        <x:v>FTE</x:v>
      </x:c>
      <x:c r="D5" s="8" t="str">
        <x:v>개월</x:v>
      </x:c>
      <x:c r="E5" s="8" t="str">
        <x:v>금액 원</x:v>
      </x:c>
    </x:row>
    <x:row r="6" ht="25" customHeight="1">
      <x:c r="A6" s="9" t="str">
        <x:v>PD 기획</x:v>
      </x:c>
      <x:c r="B6" s="25" t="n">
        <x:v>4500000</x:v>
      </x:c>
      <x:c r="C6" s="10" t="n">
        <x:v>1</x:v>
      </x:c>
      <x:c r="D6" s="10" t="n">
        <x:v>18</x:v>
      </x:c>
      <x:c r="E6" s="23" t="n">
        <x:f>B6*C6*D6</x:f>
        <x:v>81000000</x:v>
      </x:c>
    </x:row>
    <x:row r="7" ht="25" customHeight="1">
      <x:c r="A7" s="2" t="str">
        <x:v>개발</x:v>
      </x:c>
      <x:c r="B7" s="26" t="n">
        <x:v>4800000</x:v>
      </x:c>
      <x:c r="C7" s="11" t="n">
        <x:v>1</x:v>
      </x:c>
      <x:c r="D7" s="11" t="n">
        <x:v>18</x:v>
      </x:c>
      <x:c r="E7" s="24" t="n">
        <x:f>B7*C7*D7</x:f>
        <x:v>86400000</x:v>
      </x:c>
    </x:row>
    <x:row r="8" ht="25" customHeight="1">
      <x:c r="A8" s="9" t="str">
        <x:v>3D 및 TA</x:v>
      </x:c>
      <x:c r="B8" s="25" t="n">
        <x:v>4200000</x:v>
      </x:c>
      <x:c r="C8" s="10" t="n">
        <x:v>1</x:v>
      </x:c>
      <x:c r="D8" s="10" t="n">
        <x:v>18</x:v>
      </x:c>
      <x:c r="E8" s="23" t="n">
        <x:f>B8*C8*D8</x:f>
        <x:v>75600000</x:v>
      </x:c>
    </x:row>
    <x:row r="9" ht="25" customHeight="1">
      <x:c r="A9" s="2" t="str">
        <x:v>직접 인건비</x:v>
      </x:c>
      <x:c r="B9" s="2"/>
      <x:c r="C9" s="2"/>
      <x:c r="D9" s="2"/>
      <x:c r="E9" s="24" t="n">
        <x:f>SUM(E6:E8)</x:f>
        <x:v>243000000</x:v>
      </x:c>
    </x:row>
    <x:row r="10" ht="25" customHeight="1">
      <x:c r="A10" s="9" t="str">
        <x:v>고용 및 간접비</x:v>
      </x:c>
      <x:c r="B10" s="9"/>
      <x:c r="C10" s="9"/>
      <x:c r="D10" s="9"/>
      <x:c r="E10" s="23" t="n">
        <x:f>E9*B19</x:f>
        <x:v>60750000</x:v>
      </x:c>
    </x:row>
    <x:row r="11" ht="25" customHeight="1">
      <x:c r="A11" s="2" t="str">
        <x:v>전문 외주</x:v>
      </x:c>
      <x:c r="B11" s="2"/>
      <x:c r="C11" s="2"/>
      <x:c r="D11" s="2"/>
      <x:c r="E11" s="27" t="n">
        <x:v>70000000</x:v>
      </x:c>
    </x:row>
    <x:row r="12" ht="25" customHeight="1">
      <x:c r="A12" s="9" t="str">
        <x:v>장비</x:v>
      </x:c>
      <x:c r="B12" s="9"/>
      <x:c r="C12" s="9"/>
      <x:c r="D12" s="9"/>
      <x:c r="E12" s="28" t="n">
        <x:v>12000000</x:v>
      </x:c>
    </x:row>
    <x:row r="13" ht="25" customHeight="1">
      <x:c r="A13" s="2" t="str">
        <x:v>도구 라이선스</x:v>
      </x:c>
      <x:c r="B13" s="2"/>
      <x:c r="C13" s="2"/>
      <x:c r="D13" s="2"/>
      <x:c r="E13" s="27" t="n">
        <x:v>9000000</x:v>
      </x:c>
    </x:row>
    <x:row r="14" ht="25" customHeight="1">
      <x:c r="A14" s="9" t="str">
        <x:v>마케팅</x:v>
      </x:c>
      <x:c r="B14" s="9"/>
      <x:c r="C14" s="9"/>
      <x:c r="D14" s="9"/>
      <x:c r="E14" s="28" t="n">
        <x:v>20000000</x:v>
      </x:c>
    </x:row>
    <x:row r="15" ht="25" customHeight="1">
      <x:c r="A15" s="2" t="str">
        <x:v>법률 심사 대응</x:v>
      </x:c>
      <x:c r="B15" s="2"/>
      <x:c r="C15" s="2"/>
      <x:c r="D15" s="2"/>
      <x:c r="E15" s="27" t="n">
        <x:v>5000000</x:v>
      </x:c>
    </x:row>
    <x:row r="16" ht="25" customHeight="1">
      <x:c r="A16" s="9" t="str">
        <x:v>기본 비용</x:v>
      </x:c>
      <x:c r="B16" s="9"/>
      <x:c r="C16" s="9"/>
      <x:c r="D16" s="9"/>
      <x:c r="E16" s="23" t="n">
        <x:f>SUM(E9:E15)</x:f>
        <x:v>419750000</x:v>
      </x:c>
    </x:row>
    <x:row r="17" ht="25" customHeight="1">
      <x:c r="A17" s="2" t="str">
        <x:v>예비비</x:v>
      </x:c>
      <x:c r="B17" s="2"/>
      <x:c r="C17" s="2"/>
      <x:c r="D17" s="2"/>
      <x:c r="E17" s="24" t="n">
        <x:f>E16*B20</x:f>
        <x:v>83950000</x:v>
      </x:c>
    </x:row>
    <x:row r="18" ht="25" customHeight="1">
      <x:c r="A18" s="9" t="str">
        <x:v>총 필요 자금</x:v>
      </x:c>
      <x:c r="B18" s="9"/>
      <x:c r="C18" s="9"/>
      <x:c r="D18" s="9"/>
      <x:c r="E18" s="31" t="n">
        <x:f>SUM(E16:E17)</x:f>
        <x:v>503700000</x:v>
      </x:c>
    </x:row>
    <x:row r="19" ht="25" customHeight="1">
      <x:c r="A19" s="2" t="str">
        <x:v>간접비율</x:v>
      </x:c>
      <x:c r="B19" s="29" t="n">
        <x:v>0.25</x:v>
      </x:c>
      <x:c r="C19" s="2"/>
      <x:c r="D19" s="2"/>
      <x:c r="E19" s="2"/>
    </x:row>
    <x:row r="20" ht="25" customHeight="1">
      <x:c r="A20" s="9" t="str">
        <x:v>예비비율</x:v>
      </x:c>
      <x:c r="B20" s="30" t="n">
        <x:v>0.2</x:v>
      </x:c>
      <x:c r="C20" s="9"/>
      <x:c r="D20" s="9"/>
      <x:c r="E20" s="9"/>
    </x:row>
  </x:sheetData>
  <x:pageMargins left="0.7" right="0.7" top="0.75" bottom="0.75" header="0.3" footer="0.3"/>
  <x:tableParts count="1">
    <x:tablePart xmlns:r="http://schemas.openxmlformats.org/officeDocument/2006/relationships" r:id="R903140df953745ab"/>
  </x:tableParts>
</x:worksheet>
</file>

<file path=xl/worksheets/sheet10.xml><?xml version="1.0" encoding="utf-8"?>
<x:worksheet xmlns:x="http://schemas.openxmlformats.org/spreadsheetml/2006/main">
  <x:sheetPr>
    <x:tabColor rgb="FF8099A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28" hidden="0" customWidth="1"/>
  </x:cols>
  <x:sheetData>
    <x:row r="1" ht="25" customHeight="1">
      <x:c r="A1" s="2"/>
      <x:c r="B1" s="2"/>
      <x:c r="C1" s="2"/>
    </x:row>
    <x:row r="2" ht="25" customHeight="1">
      <x:c r="A2" s="3" t="str">
        <x:v>게임 수치 입력</x:v>
      </x:c>
      <x:c r="B2" s="2"/>
      <x:c r="C2" s="2"/>
    </x:row>
    <x:row r="3" ht="25" customHeight="1">
      <x:c r="A3" s="4" t="str">
        <x:v>v0.1 제안값 · 실측 및 게임 테스트 전</x:v>
      </x:c>
      <x:c r="B3" s="2"/>
      <x:c r="C3" s="2"/>
    </x:row>
    <x:row r="4" ht="25" customHeight="1">
      <x:c r="A4" s="2"/>
      <x:c r="B4" s="2"/>
      <x:c r="C4" s="2"/>
    </x:row>
    <x:row r="5" ht="38" customHeight="1">
      <x:c r="A5" s="8" t="str">
        <x:v>변수</x:v>
      </x:c>
      <x:c r="B5" s="8" t="str">
        <x:v>값</x:v>
      </x:c>
      <x:c r="C5" s="8" t="str">
        <x:v>단위 또는 의미</x:v>
      </x:c>
    </x:row>
    <x:row r="6" ht="25" customHeight="1">
      <x:c r="A6" s="9" t="str">
        <x:v>base_hp</x:v>
      </x:c>
      <x:c r="B6" s="12" t="n">
        <x:v>120</x:v>
      </x:c>
      <x:c r="C6" s="9" t="str">
        <x:v>HP</x:v>
      </x:c>
    </x:row>
    <x:row r="7" ht="25" customHeight="1">
      <x:c r="A7" s="2" t="str">
        <x:v>hp_per_level</x:v>
      </x:c>
      <x:c r="B7" s="12" t="n">
        <x:v>8</x:v>
      </x:c>
      <x:c r="C7" s="2" t="str">
        <x:v>HP</x:v>
      </x:c>
    </x:row>
    <x:row r="8" ht="25" customHeight="1">
      <x:c r="A8" s="9" t="str">
        <x:v>base_attack</x:v>
      </x:c>
      <x:c r="B8" s="12" t="n">
        <x:v>20</x:v>
      </x:c>
      <x:c r="C8" s="9" t="str">
        <x:v>공격력</x:v>
      </x:c>
    </x:row>
    <x:row r="9" ht="25" customHeight="1">
      <x:c r="A9" s="2" t="str">
        <x:v>attack_per_level</x:v>
      </x:c>
      <x:c r="B9" s="12" t="n">
        <x:v>2</x:v>
      </x:c>
      <x:c r="C9" s="2" t="str">
        <x:v>공격력</x:v>
      </x:c>
    </x:row>
    <x:row r="10" ht="25" customHeight="1">
      <x:c r="A10" s="9" t="str">
        <x:v>max_level</x:v>
      </x:c>
      <x:c r="B10" s="12" t="n">
        <x:v>30</x:v>
      </x:c>
      <x:c r="C10" s="9" t="str">
        <x:v>레벨</x:v>
      </x:c>
    </x:row>
    <x:row r="11" ht="25" customHeight="1">
      <x:c r="A11" s="2" t="str">
        <x:v>base_xp</x:v>
      </x:c>
      <x:c r="B11" s="12" t="n">
        <x:v>80</x:v>
      </x:c>
      <x:c r="C11" s="2" t="str">
        <x:v>XP</x:v>
      </x:c>
    </x:row>
    <x:row r="12" ht="25" customHeight="1">
      <x:c r="A12" s="9" t="str">
        <x:v>xp_step</x:v>
      </x:c>
      <x:c r="B12" s="12" t="n">
        <x:v>20</x:v>
      </x:c>
      <x:c r="C12" s="9" t="str">
        <x:v>XP</x:v>
      </x:c>
    </x:row>
    <x:row r="13" ht="25" customHeight="1">
      <x:c r="A13" s="2" t="str">
        <x:v>attack_interval_s</x:v>
      </x:c>
      <x:c r="B13" s="12" t="n">
        <x:v>0.5</x:v>
      </x:c>
      <x:c r="C13" s="2" t="str">
        <x:v>초</x:v>
      </x:c>
    </x:row>
    <x:row r="14" ht="25" customHeight="1">
      <x:c r="A14" s="9" t="str">
        <x:v>effective_uptime</x:v>
      </x:c>
      <x:c r="B14" s="12" t="n">
        <x:v>0.65</x:v>
      </x:c>
      <x:c r="C14" s="9" t="str">
        <x:v>공격 가동률 가정</x:v>
      </x:c>
    </x:row>
    <x:row r="15" ht="25" customHeight="1">
      <x:c r="A15" s="2" t="str">
        <x:v>energy_max</x:v>
      </x:c>
      <x:c r="B15" s="12" t="n">
        <x:v>100</x:v>
      </x:c>
      <x:c r="C15" s="2" t="str">
        <x:v>에너지</x:v>
      </x:c>
    </x:row>
    <x:row r="16" ht="25" customHeight="1">
      <x:c r="A16" s="9" t="str">
        <x:v>energy_start</x:v>
      </x:c>
      <x:c r="B16" s="12" t="n">
        <x:v>30</x:v>
      </x:c>
      <x:c r="C16" s="9" t="str">
        <x:v>에너지</x:v>
      </x:c>
    </x:row>
    <x:row r="17" ht="25" customHeight="1">
      <x:c r="A17" s="2" t="str">
        <x:v>move_speed_mps</x:v>
      </x:c>
      <x:c r="B17" s="12" t="n">
        <x:v>5.2</x:v>
      </x:c>
      <x:c r="C17" s="2" t="str">
        <x:v>m/s</x:v>
      </x:c>
    </x:row>
    <x:row r="18" ht="25" customHeight="1">
      <x:c r="A18" s="9" t="str">
        <x:v>dodge_cost</x:v>
      </x:c>
      <x:c r="B18" s="12" t="n">
        <x:v>25</x:v>
      </x:c>
      <x:c r="C18" s="9" t="str">
        <x:v>체력</x:v>
      </x:c>
    </x:row>
    <x:row r="19" ht="25" customHeight="1">
      <x:c r="A19" s="2" t="str">
        <x:v>stamina_max</x:v>
      </x:c>
      <x:c r="B19" s="12" t="n">
        <x:v>100</x:v>
      </x:c>
      <x:c r="C19" s="2" t="str">
        <x:v>체력</x:v>
      </x:c>
    </x:row>
    <x:row r="20" ht="25" customHeight="1">
      <x:c r="A20" s="9" t="str">
        <x:v>stamina_regen_per_s</x:v>
      </x:c>
      <x:c r="B20" s="12" t="n">
        <x:v>20</x:v>
      </x:c>
      <x:c r="C20" s="9" t="str">
        <x:v>체력/s</x:v>
      </x:c>
    </x:row>
    <x:row r="21" ht="25" customHeight="1">
      <x:c r="A21" s="2" t="str">
        <x:v>residue_lifetime_s</x:v>
      </x:c>
      <x:c r="B21" s="12" t="n">
        <x:v>20</x:v>
      </x:c>
      <x:c r="C21" s="2" t="str">
        <x:v>초</x:v>
      </x:c>
    </x:row>
  </x:sheetData>
  <x:pageMargins left="0.7" right="0.7" top="0.75" bottom="0.75" header="0.3" footer="0.3"/>
  <x:tableParts count="1">
    <x:tablePart xmlns:r="http://schemas.openxmlformats.org/officeDocument/2006/relationships" r:id="Rc30fa69d692341ac"/>
  </x:tableParts>
</x:worksheet>
</file>